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Test Cases" sheetId="2" state="visible" r:id="rId2"/>
    <sheet name="Summary" sheetId="3" state="visible" r:id="rId3"/>
    <sheet name="Defect Log" sheetId="4" state="visible" r:id="rId4"/>
  </sheets>
  <definedNames>
    <definedName name="_xlnm._FilterDatabase" localSheetId="1" hidden="1">'Test Cases'!$A$1:$P$185</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001F3864"/>
      <sz val="16"/>
    </font>
    <font>
      <b val="1"/>
      <color rgb="002E5C8A"/>
      <sz val="12"/>
    </font>
    <font>
      <b val="1"/>
      <color rgb="001F3864"/>
      <sz val="12"/>
    </font>
    <font>
      <b val="1"/>
    </font>
    <font>
      <b val="1"/>
      <color rgb="00FFFFFF"/>
      <sz val="11"/>
    </font>
  </fonts>
  <fills count="5">
    <fill>
      <patternFill/>
    </fill>
    <fill>
      <patternFill patternType="gray125"/>
    </fill>
    <fill>
      <patternFill patternType="solid">
        <fgColor rgb="00DCE6F1"/>
      </patternFill>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4" fillId="0" borderId="0" pivotButton="0" quotePrefix="0" xfId="0"/>
    <xf numFmtId="0" fontId="3" fillId="2" borderId="0" pivotButton="0" quotePrefix="0" xfId="0"/>
    <xf numFmtId="0" fontId="0" fillId="2" borderId="0" applyAlignment="1" pivotButton="0" quotePrefix="0" xfId="0">
      <alignment vertical="top" wrapText="1"/>
    </xf>
    <xf numFmtId="0" fontId="5" fillId="3" borderId="1" applyAlignment="1" pivotButton="0" quotePrefix="0" xfId="0">
      <alignment horizontal="center" vertical="center" wrapText="1"/>
    </xf>
    <xf numFmtId="0" fontId="4" fillId="4" borderId="1" applyAlignment="1" pivotButton="0" quotePrefix="0" xfId="0">
      <alignment vertical="top"/>
    </xf>
    <xf numFmtId="0" fontId="0" fillId="4" borderId="1" applyAlignment="1" pivotButton="0" quotePrefix="0" xfId="0">
      <alignment vertical="top"/>
    </xf>
    <xf numFmtId="0" fontId="0" fillId="4" borderId="1" applyAlignment="1" pivotButton="0" quotePrefix="0" xfId="0">
      <alignment vertical="top" wrapText="1"/>
    </xf>
    <xf numFmtId="0" fontId="0" fillId="4" borderId="1" applyAlignment="1" pivotButton="0" quotePrefix="0" xfId="0">
      <alignment horizontal="center" vertical="center" wrapText="1"/>
    </xf>
    <xf numFmtId="0" fontId="4"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0"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 customWidth="1" min="1" max="1"/>
    <col width="26" customWidth="1" min="2" max="2"/>
    <col width="110" customWidth="1" min="3" max="3"/>
  </cols>
  <sheetData>
    <row r="1">
      <c r="A1" t="inlineStr"/>
      <c r="B1" s="1" t="inlineStr">
        <is>
          <t>Charticks - Execution Terminal</t>
        </is>
      </c>
      <c r="C1" s="2" t="inlineStr"/>
    </row>
    <row r="2">
      <c r="A2" t="inlineStr"/>
      <c r="B2" s="3" t="inlineStr">
        <is>
          <t>Manual Test Suite v1.0</t>
        </is>
      </c>
      <c r="C2" s="2" t="inlineStr"/>
    </row>
    <row r="3">
      <c r="A3" t="inlineStr"/>
      <c r="B3" t="inlineStr"/>
      <c r="C3" s="2" t="inlineStr"/>
    </row>
    <row r="4">
      <c r="A4" t="inlineStr"/>
      <c r="B4" s="4" t="inlineStr">
        <is>
          <t>Prepared for</t>
        </is>
      </c>
      <c r="C4" s="2" t="inlineStr">
        <is>
          <t>Charticks test team</t>
        </is>
      </c>
    </row>
    <row r="5">
      <c r="A5" t="inlineStr"/>
      <c r="B5" s="4" t="inlineStr">
        <is>
          <t>Build under test</t>
        </is>
      </c>
      <c r="C5" s="2" t="inlineStr">
        <is>
          <t>Charticks 0.1.0 (Electron + React renderer over the Python sidecar engine)</t>
        </is>
      </c>
    </row>
    <row r="6">
      <c r="A6" t="inlineStr"/>
      <c r="B6" s="4" t="inlineStr">
        <is>
          <t>Suite size</t>
        </is>
      </c>
      <c r="C6" s="2" t="inlineStr">
        <is>
          <t>184 test cases across 20 modules</t>
        </is>
      </c>
    </row>
    <row r="7">
      <c r="A7" t="inlineStr"/>
      <c r="B7" s="4" t="inlineStr">
        <is>
          <t>Date issued</t>
        </is>
      </c>
      <c r="C7" s="2" t="inlineStr">
        <is>
          <t>2026-08-05</t>
        </is>
      </c>
    </row>
    <row r="8">
      <c r="A8" t="inlineStr"/>
      <c r="B8" t="inlineStr"/>
      <c r="C8" s="2" t="inlineStr"/>
    </row>
    <row r="9">
      <c r="A9" t="inlineStr"/>
      <c r="B9" s="5" t="inlineStr">
        <is>
          <t>HOW TO USE THIS WORKBOOK</t>
        </is>
      </c>
      <c r="C9" s="6" t="inlineStr"/>
    </row>
    <row r="10">
      <c r="A10" t="inlineStr"/>
      <c r="B10" t="inlineStr">
        <is>
          <t>1.</t>
        </is>
      </c>
      <c r="C10" s="2" t="inlineStr">
        <is>
          <t>Work through the 'Test Cases' sheet top to bottom. It is ordered so setup comes first and the full regression cycle comes last.</t>
        </is>
      </c>
    </row>
    <row r="11">
      <c r="A11" t="inlineStr"/>
      <c r="B11" t="inlineStr">
        <is>
          <t>2.</t>
        </is>
      </c>
      <c r="C11" s="2" t="inlineStr">
        <is>
          <t>Read the Pre-condition column FIRST. If you cannot meet it, mark the case 'Blocked' and say why in Remarks - do not guess.</t>
        </is>
      </c>
    </row>
    <row r="12">
      <c r="A12" t="inlineStr"/>
      <c r="B12" t="inlineStr">
        <is>
          <t>3.</t>
        </is>
      </c>
      <c r="C12" s="2" t="inlineStr">
        <is>
          <t>Follow the Test Steps exactly and in order. Use the values in the Test Data column where one is given.</t>
        </is>
      </c>
    </row>
    <row r="13">
      <c r="A13" t="inlineStr"/>
      <c r="B13" t="inlineStr">
        <is>
          <t>4.</t>
        </is>
      </c>
      <c r="C13" s="2" t="inlineStr">
        <is>
          <t>Write what actually happened in 'Actual Result' - even when it passes. 'Works' is not enough; write the numbers you saw.</t>
        </is>
      </c>
    </row>
    <row r="14">
      <c r="A14" t="inlineStr"/>
      <c r="B14" t="inlineStr">
        <is>
          <t>5.</t>
        </is>
      </c>
      <c r="C14" s="2" t="inlineStr">
        <is>
          <t>Set Status from the dropdown. If it is Fail, raise a row in the 'Defect Log' sheet and put its ID in Remarks.</t>
        </is>
      </c>
    </row>
    <row r="15">
      <c r="A15" t="inlineStr"/>
      <c r="B15" t="inlineStr">
        <is>
          <t>6.</t>
        </is>
      </c>
      <c r="C15" s="2" t="inlineStr">
        <is>
          <t>Attach a screenshot for every Fail. Crop or blur anything showing broker credentials.</t>
        </is>
      </c>
    </row>
    <row r="16">
      <c r="A16" t="inlineStr"/>
      <c r="B16" t="inlineStr"/>
      <c r="C16" s="2" t="inlineStr"/>
    </row>
    <row r="17">
      <c r="A17" t="inlineStr"/>
      <c r="B17" s="5" t="inlineStr">
        <is>
          <t>STATUS MEANINGS</t>
        </is>
      </c>
      <c r="C17" s="6" t="inlineStr"/>
    </row>
    <row r="18">
      <c r="A18" t="inlineStr"/>
      <c r="B18" s="4" t="inlineStr">
        <is>
          <t>Pass</t>
        </is>
      </c>
      <c r="C18" s="2" t="inlineStr">
        <is>
          <t>The actual result matched the expected result exactly.</t>
        </is>
      </c>
    </row>
    <row r="19">
      <c r="A19" t="inlineStr"/>
      <c r="B19" s="4" t="inlineStr">
        <is>
          <t>Fail</t>
        </is>
      </c>
      <c r="C19" s="2" t="inlineStr">
        <is>
          <t>The actual result differed from the expected result. Raise a defect.</t>
        </is>
      </c>
    </row>
    <row r="20">
      <c r="A20" t="inlineStr"/>
      <c r="B20" s="4" t="inlineStr">
        <is>
          <t>Blocked</t>
        </is>
      </c>
      <c r="C20" s="2" t="inlineStr">
        <is>
          <t>The test could not be run (pre-condition unavailable, or an earlier defect prevents it).</t>
        </is>
      </c>
    </row>
    <row r="21">
      <c r="A21" t="inlineStr"/>
      <c r="B21" s="4" t="inlineStr">
        <is>
          <t>Not Run</t>
        </is>
      </c>
      <c r="C21" s="2" t="inlineStr">
        <is>
          <t>Not attempted yet.</t>
        </is>
      </c>
    </row>
    <row r="22">
      <c r="A22" t="inlineStr"/>
      <c r="B22" s="4" t="inlineStr">
        <is>
          <t>N/A</t>
        </is>
      </c>
      <c r="C22" s="2" t="inlineStr">
        <is>
          <t>The case does not apply to this build.</t>
        </is>
      </c>
    </row>
    <row r="23">
      <c r="A23" t="inlineStr"/>
      <c r="B23" t="inlineStr"/>
      <c r="C23" s="2" t="inlineStr"/>
    </row>
    <row r="24">
      <c r="A24" t="inlineStr"/>
      <c r="B24" s="5" t="inlineStr">
        <is>
          <t>SEVERITY GUIDE (for failures)</t>
        </is>
      </c>
      <c r="C24" s="6" t="inlineStr"/>
    </row>
    <row r="25">
      <c r="A25" t="inlineStr"/>
      <c r="B25" s="4" t="inlineStr">
        <is>
          <t>Critical</t>
        </is>
      </c>
      <c r="C25" s="2" t="inlineStr">
        <is>
          <t>Money at risk: wrong quantity, wrong price, wrong side, an order that should have been blocked but was placed, or data loss.</t>
        </is>
      </c>
    </row>
    <row r="26">
      <c r="A26" t="inlineStr"/>
      <c r="B26" s="4" t="inlineStr">
        <is>
          <t>High</t>
        </is>
      </c>
      <c r="C26" s="2" t="inlineStr">
        <is>
          <t>A core function does not work, or a number shown to the trader is wrong.</t>
        </is>
      </c>
    </row>
    <row r="27">
      <c r="A27" t="inlineStr"/>
      <c r="B27" s="4" t="inlineStr">
        <is>
          <t>Medium</t>
        </is>
      </c>
      <c r="C27" s="2" t="inlineStr">
        <is>
          <t>A feature works but behaves incorrectly in a specific case.</t>
        </is>
      </c>
    </row>
    <row r="28">
      <c r="A28" t="inlineStr"/>
      <c r="B28" s="4" t="inlineStr">
        <is>
          <t>Low</t>
        </is>
      </c>
      <c r="C28" s="2" t="inlineStr">
        <is>
          <t>Cosmetic, wording, or layout.</t>
        </is>
      </c>
    </row>
    <row r="29">
      <c r="A29" t="inlineStr"/>
      <c r="B29" t="inlineStr"/>
      <c r="C29" s="2" t="inlineStr"/>
    </row>
    <row r="30">
      <c r="A30" t="inlineStr"/>
      <c r="B30" t="inlineStr">
        <is>
          <t>IMPORTANT SAFETY RULES</t>
        </is>
      </c>
      <c r="C30" s="2" t="inlineStr"/>
    </row>
    <row r="31">
      <c r="A31" t="inlineStr"/>
      <c r="B31" s="5" t="inlineStr">
        <is>
          <t>Paper mode</t>
        </is>
      </c>
      <c r="C31" s="6" t="inlineStr">
        <is>
          <t>Run the WHOLE suite in Paper mode unless a case explicitly says Live. The badge in the status bar must read 'Paper'.</t>
        </is>
      </c>
    </row>
    <row r="32">
      <c r="A32" t="inlineStr"/>
      <c r="B32" s="4" t="inlineStr">
        <is>
          <t>Live mode</t>
        </is>
      </c>
      <c r="C32" s="2" t="inlineStr">
        <is>
          <t>Only test Live mode with a broker account you are authorised to trade, using the smallest possible size. Live cases are marked in the Module column.</t>
        </is>
      </c>
    </row>
    <row r="33">
      <c r="A33" t="inlineStr"/>
      <c r="B33" s="4" t="inlineStr">
        <is>
          <t>Market hours</t>
        </is>
      </c>
      <c r="C33" s="2" t="inlineStr">
        <is>
          <t>Indian equity derivatives trade 09:15-15:30 IST, Mon-Fri. Many cases need the market OPEN; the market-hours cases need it CLOSED. Plan your day around this.</t>
        </is>
      </c>
    </row>
    <row r="34">
      <c r="A34" t="inlineStr"/>
      <c r="B34" s="4" t="inlineStr">
        <is>
          <t>Credentials</t>
        </is>
      </c>
      <c r="C34" s="2" t="inlineStr">
        <is>
          <t>Never share broker credentials, and never include them in a screenshot, a log file or a defect report.</t>
        </is>
      </c>
    </row>
    <row r="35">
      <c r="A35" t="inlineStr"/>
      <c r="B35" s="4" t="inlineStr"/>
      <c r="C35" s="2" t="inlineStr"/>
    </row>
    <row r="36">
      <c r="A36" t="inlineStr"/>
      <c r="B36" t="inlineStr">
        <is>
          <t>ENVIRONMENT TO RECORD</t>
        </is>
      </c>
      <c r="C36" s="2" t="inlineStr"/>
    </row>
    <row r="37">
      <c r="A37" t="inlineStr"/>
      <c r="B37" s="5" t="inlineStr"/>
      <c r="C37" s="6" t="inlineStr">
        <is>
          <t>Before you start, note: Windows version, Charticks version, Python version, broker used, and whether you tested during or outside market hours.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8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46" customWidth="1" min="4" max="4"/>
    <col width="12" customWidth="1" min="5" max="5"/>
    <col width="14" customWidth="1" min="6" max="6"/>
    <col width="34" customWidth="1" min="7" max="7"/>
    <col width="60" customWidth="1" min="8" max="8"/>
    <col width="22" customWidth="1" min="9" max="9"/>
    <col width="60" customWidth="1" min="10" max="10"/>
    <col width="34" customWidth="1" min="11" max="11"/>
    <col width="12" customWidth="1" min="12" max="12"/>
    <col width="12" customWidth="1" min="13" max="13"/>
    <col width="14" customWidth="1" min="14" max="14"/>
    <col width="12" customWidth="1" min="15" max="15"/>
    <col width="24" customWidth="1" min="16" max="16"/>
  </cols>
  <sheetData>
    <row r="1" ht="30" customHeight="1">
      <c r="A1" s="7" t="inlineStr">
        <is>
          <t>TC ID</t>
        </is>
      </c>
      <c r="B1" s="7" t="inlineStr">
        <is>
          <t>Module</t>
        </is>
      </c>
      <c r="C1" s="7" t="inlineStr">
        <is>
          <t>Sub-Module</t>
        </is>
      </c>
      <c r="D1" s="7" t="inlineStr">
        <is>
          <t>Test Case Title</t>
        </is>
      </c>
      <c r="E1" s="7" t="inlineStr">
        <is>
          <t>Priority</t>
        </is>
      </c>
      <c r="F1" s="7" t="inlineStr">
        <is>
          <t>Type</t>
        </is>
      </c>
      <c r="G1" s="7" t="inlineStr">
        <is>
          <t>Pre-condition</t>
        </is>
      </c>
      <c r="H1" s="7" t="inlineStr">
        <is>
          <t>Test Steps</t>
        </is>
      </c>
      <c r="I1" s="7" t="inlineStr">
        <is>
          <t>Test Data</t>
        </is>
      </c>
      <c r="J1" s="7" t="inlineStr">
        <is>
          <t>Expected Result</t>
        </is>
      </c>
      <c r="K1" s="7" t="inlineStr">
        <is>
          <t>Actual Result</t>
        </is>
      </c>
      <c r="L1" s="7" t="inlineStr">
        <is>
          <t>Status</t>
        </is>
      </c>
      <c r="M1" s="7" t="inlineStr">
        <is>
          <t>Severity</t>
        </is>
      </c>
      <c r="N1" s="7" t="inlineStr">
        <is>
          <t>Tested By</t>
        </is>
      </c>
      <c r="O1" s="7" t="inlineStr">
        <is>
          <t>Date</t>
        </is>
      </c>
      <c r="P1" s="7" t="inlineStr">
        <is>
          <t>Remarks / Defect ID</t>
        </is>
      </c>
    </row>
    <row r="2">
      <c r="A2" s="8" t="inlineStr">
        <is>
          <t>TC-SETUP-101</t>
        </is>
      </c>
      <c r="B2" s="9" t="inlineStr">
        <is>
          <t>Installation</t>
        </is>
      </c>
      <c r="C2" s="9" t="inlineStr">
        <is>
          <t>Python runtime</t>
        </is>
      </c>
      <c r="D2" s="10" t="inlineStr">
        <is>
          <t>Python installs with 'Add python.exe to PATH' ticked</t>
        </is>
      </c>
      <c r="E2" s="9" t="inlineStr">
        <is>
          <t>P1 - Critical</t>
        </is>
      </c>
      <c r="F2" s="9" t="inlineStr">
        <is>
          <t>Functional</t>
        </is>
      </c>
      <c r="G2" s="10" t="inlineStr">
        <is>
          <t>A clean Windows 10/11 machine with no Python installed.</t>
        </is>
      </c>
      <c r="H2" s="10" t="inlineStr">
        <is>
          <t>1. Open https://www.python.org/downloads/
2. Download and run the installer
3. On the FIRST screen tick 'Add python.exe to PATH'
4. Click 'Install Now' and wait for it to finish
5. Open Command Prompt and run: python --version</t>
        </is>
      </c>
      <c r="I2" s="10" t="inlineStr">
        <is>
          <t>Latest Python 3.11+ installer</t>
        </is>
      </c>
      <c r="J2" s="10" t="inlineStr">
        <is>
          <t>Installation completes. 'python --version' prints a version number (e.g. Python 3.12.x) instead of 'not recognised'.</t>
        </is>
      </c>
      <c r="K2" s="10" t="inlineStr"/>
      <c r="L2" s="11" t="inlineStr">
        <is>
          <t>Not Run</t>
        </is>
      </c>
      <c r="M2" s="9" t="inlineStr"/>
      <c r="N2" s="9" t="inlineStr"/>
      <c r="O2" s="9" t="inlineStr"/>
      <c r="P2" s="10" t="inlineStr"/>
    </row>
    <row r="3">
      <c r="A3" s="12" t="inlineStr">
        <is>
          <t>TC-SETUP-102</t>
        </is>
      </c>
      <c r="B3" s="13" t="inlineStr">
        <is>
          <t>Installation</t>
        </is>
      </c>
      <c r="C3" s="13" t="inlineStr">
        <is>
          <t>Python runtime</t>
        </is>
      </c>
      <c r="D3" s="14" t="inlineStr">
        <is>
          <t>Setup script detects a missing PATH entry and refuses to continue</t>
        </is>
      </c>
      <c r="E3" s="13" t="inlineStr">
        <is>
          <t>P2 - High</t>
        </is>
      </c>
      <c r="F3" s="13" t="inlineStr">
        <is>
          <t>Negative</t>
        </is>
      </c>
      <c r="G3" s="14" t="inlineStr">
        <is>
          <t>Python installed WITHOUT the PATH checkbox ticked.</t>
        </is>
      </c>
      <c r="H3" s="14" t="inlineStr">
        <is>
          <t>1. Double-click setup-tester.bat
2. Read the message shown</t>
        </is>
      </c>
      <c r="I3" s="14" t="inlineStr">
        <is>
          <t>setup-tester.bat</t>
        </is>
      </c>
      <c r="J3" s="14" t="inlineStr">
        <is>
          <t>Script stops with a clear message that Python is not installed / not on PATH, and tells the user to redo Step 1. It does NOT continue and does NOT leave a half-installed state.</t>
        </is>
      </c>
      <c r="K3" s="14" t="inlineStr"/>
      <c r="L3" s="15" t="inlineStr">
        <is>
          <t>Not Run</t>
        </is>
      </c>
      <c r="M3" s="13" t="inlineStr"/>
      <c r="N3" s="13" t="inlineStr"/>
      <c r="O3" s="13" t="inlineStr"/>
      <c r="P3" s="14" t="inlineStr"/>
    </row>
    <row r="4">
      <c r="A4" s="8" t="inlineStr">
        <is>
          <t>TC-SETUP-103</t>
        </is>
      </c>
      <c r="B4" s="9" t="inlineStr">
        <is>
          <t>Installation</t>
        </is>
      </c>
      <c r="C4" s="9" t="inlineStr">
        <is>
          <t>Dependencies</t>
        </is>
      </c>
      <c r="D4" s="10" t="inlineStr">
        <is>
          <t>setup-tester.bat installs engine dependencies successfully</t>
        </is>
      </c>
      <c r="E4" s="9" t="inlineStr">
        <is>
          <t>P1 - Critical</t>
        </is>
      </c>
      <c r="F4" s="9" t="inlineStr">
        <is>
          <t>Functional</t>
        </is>
      </c>
      <c r="G4" s="10" t="inlineStr">
        <is>
          <t>Python is installed with PATH ticked.</t>
        </is>
      </c>
      <c r="H4" s="10" t="inlineStr">
        <is>
          <t>1. Double-click setup-tester.bat
2. Wait for the script to finish
3. Read the final message</t>
        </is>
      </c>
      <c r="I4" s="10" t="inlineStr">
        <is>
          <t>setup-tester.bat</t>
        </is>
      </c>
      <c r="J4" s="10" t="inlineStr">
        <is>
          <t>The window ends with the banner 'SUCCESS - setup is complete.' and no red error text.</t>
        </is>
      </c>
      <c r="K4" s="10" t="inlineStr"/>
      <c r="L4" s="11" t="inlineStr">
        <is>
          <t>Not Run</t>
        </is>
      </c>
      <c r="M4" s="9" t="inlineStr"/>
      <c r="N4" s="9" t="inlineStr"/>
      <c r="O4" s="9" t="inlineStr"/>
      <c r="P4" s="10" t="inlineStr"/>
    </row>
    <row r="5">
      <c r="A5" s="12" t="inlineStr">
        <is>
          <t>TC-SETUP-104</t>
        </is>
      </c>
      <c r="B5" s="13" t="inlineStr">
        <is>
          <t>Installation</t>
        </is>
      </c>
      <c r="C5" s="13" t="inlineStr">
        <is>
          <t>App installer</t>
        </is>
      </c>
      <c r="D5" s="14" t="inlineStr">
        <is>
          <t>Charticks installs from the .exe past the SmartScreen warning</t>
        </is>
      </c>
      <c r="E5" s="13" t="inlineStr">
        <is>
          <t>P1 - Critical</t>
        </is>
      </c>
      <c r="F5" s="13" t="inlineStr">
        <is>
          <t>Functional</t>
        </is>
      </c>
      <c r="G5" s="14" t="inlineStr">
        <is>
          <t>Charticks-Setup-0.1.0.exe has been downloaded.</t>
        </is>
      </c>
      <c r="H5" s="14" t="inlineStr">
        <is>
          <t>1. Double-click Charticks-Setup-0.1.0.exe
2. On 'Windows protected your PC' click 'More info' then 'Run anyway'
3. Complete the installer</t>
        </is>
      </c>
      <c r="I5" s="14" t="inlineStr">
        <is>
          <t>Charticks-Setup-0.1.0.exe</t>
        </is>
      </c>
      <c r="J5" s="14" t="inlineStr">
        <is>
          <t>Installer completes. A Charticks shortcut appears on the Desktop / Start Menu.</t>
        </is>
      </c>
      <c r="K5" s="14" t="inlineStr"/>
      <c r="L5" s="15" t="inlineStr">
        <is>
          <t>Not Run</t>
        </is>
      </c>
      <c r="M5" s="13" t="inlineStr"/>
      <c r="N5" s="13" t="inlineStr"/>
      <c r="O5" s="13" t="inlineStr"/>
      <c r="P5" s="14" t="inlineStr"/>
    </row>
    <row r="6">
      <c r="A6" s="8" t="inlineStr">
        <is>
          <t>TC-SETUP-105</t>
        </is>
      </c>
      <c r="B6" s="9" t="inlineStr">
        <is>
          <t>Installation</t>
        </is>
      </c>
      <c r="C6" s="9" t="inlineStr">
        <is>
          <t>First launch</t>
        </is>
      </c>
      <c r="D6" s="10" t="inlineStr">
        <is>
          <t>App opens and the engine starts within ~10 seconds</t>
        </is>
      </c>
      <c r="E6" s="9" t="inlineStr">
        <is>
          <t>P1 - Critical</t>
        </is>
      </c>
      <c r="F6" s="9" t="inlineStr">
        <is>
          <t>Functional</t>
        </is>
      </c>
      <c r="G6" s="10" t="inlineStr">
        <is>
          <t>Charticks is installed.</t>
        </is>
      </c>
      <c r="H6" s="10" t="inlineStr">
        <is>
          <t>1. Launch Charticks from the Desktop
2. Wait up to 15 seconds
3. Look at the top-left status area</t>
        </is>
      </c>
      <c r="I6" s="10" t="inlineStr">
        <is>
          <t>-</t>
        </is>
      </c>
      <c r="J6" s="10" t="inlineStr">
        <is>
          <t>Window opens; the bridge indicator changes from 'Connecting...' to 'Bridge live'. No blank/white screen.</t>
        </is>
      </c>
      <c r="K6" s="10" t="inlineStr"/>
      <c r="L6" s="11" t="inlineStr">
        <is>
          <t>Not Run</t>
        </is>
      </c>
      <c r="M6" s="9" t="inlineStr"/>
      <c r="N6" s="9" t="inlineStr"/>
      <c r="O6" s="9" t="inlineStr"/>
      <c r="P6" s="10" t="inlineStr"/>
    </row>
    <row r="7">
      <c r="A7" s="12" t="inlineStr">
        <is>
          <t>TC-SETUP-106</t>
        </is>
      </c>
      <c r="B7" s="13" t="inlineStr">
        <is>
          <t>Installation</t>
        </is>
      </c>
      <c r="C7" s="13" t="inlineStr">
        <is>
          <t>First launch</t>
        </is>
      </c>
      <c r="D7" s="14" t="inlineStr">
        <is>
          <t>App still opens (degraded) when Python is missing</t>
        </is>
      </c>
      <c r="E7" s="13" t="inlineStr">
        <is>
          <t>P2 - High</t>
        </is>
      </c>
      <c r="F7" s="13" t="inlineStr">
        <is>
          <t>Negative</t>
        </is>
      </c>
      <c r="G7" s="14" t="inlineStr">
        <is>
          <t>Python is NOT installed.</t>
        </is>
      </c>
      <c r="H7" s="14" t="inlineStr">
        <is>
          <t>1. Launch Charticks
2. Observe the status bar and the panels</t>
        </is>
      </c>
      <c r="I7" s="14" t="inlineStr">
        <is>
          <t>-</t>
        </is>
      </c>
      <c r="J7" s="14" t="inlineStr">
        <is>
          <t>App window opens rather than crashing; the bridge shows it is not connected and panels are empty. The user is not shown a raw stack trace.</t>
        </is>
      </c>
      <c r="K7" s="14" t="inlineStr"/>
      <c r="L7" s="15" t="inlineStr">
        <is>
          <t>Not Run</t>
        </is>
      </c>
      <c r="M7" s="13" t="inlineStr"/>
      <c r="N7" s="13" t="inlineStr"/>
      <c r="O7" s="13" t="inlineStr"/>
      <c r="P7" s="14" t="inlineStr"/>
    </row>
    <row r="8">
      <c r="A8" s="8" t="inlineStr">
        <is>
          <t>TC-SETUP-107</t>
        </is>
      </c>
      <c r="B8" s="9" t="inlineStr">
        <is>
          <t>Installation</t>
        </is>
      </c>
      <c r="C8" s="9" t="inlineStr">
        <is>
          <t>Logs</t>
        </is>
      </c>
      <c r="D8" s="10" t="inlineStr">
        <is>
          <t>Log files are written to the documented folder</t>
        </is>
      </c>
      <c r="E8" s="9" t="inlineStr">
        <is>
          <t>P3 - Medium</t>
        </is>
      </c>
      <c r="F8" s="9" t="inlineStr">
        <is>
          <t>Functional</t>
        </is>
      </c>
      <c r="G8" s="10" t="inlineStr">
        <is>
          <t>Charticks has been launched at least once.</t>
        </is>
      </c>
      <c r="H8" s="10" t="inlineStr">
        <is>
          <t>1. Paste %LOCALAPPDATA%\Programs\charticks\resources\sidecar\logs into File Explorer
2. Open the newest dated folder</t>
        </is>
      </c>
      <c r="I8" s="10" t="inlineStr">
        <is>
          <t>-</t>
        </is>
      </c>
      <c r="J8" s="10" t="inlineStr">
        <is>
          <t>A dated folder exists containing app.log with readable entries for the current session.</t>
        </is>
      </c>
      <c r="K8" s="10" t="inlineStr"/>
      <c r="L8" s="11" t="inlineStr">
        <is>
          <t>Not Run</t>
        </is>
      </c>
      <c r="M8" s="9" t="inlineStr"/>
      <c r="N8" s="9" t="inlineStr"/>
      <c r="O8" s="9" t="inlineStr"/>
      <c r="P8" s="10" t="inlineStr"/>
    </row>
    <row r="9">
      <c r="A9" s="12" t="inlineStr">
        <is>
          <t>TC-SETUP-108</t>
        </is>
      </c>
      <c r="B9" s="13" t="inlineStr">
        <is>
          <t>Installation</t>
        </is>
      </c>
      <c r="C9" s="13" t="inlineStr">
        <is>
          <t>Logs</t>
        </is>
      </c>
      <c r="D9" s="14" t="inlineStr">
        <is>
          <t>Log files never contain broker passwords / API keys / tokens</t>
        </is>
      </c>
      <c r="E9" s="13" t="inlineStr">
        <is>
          <t>P1 - Critical</t>
        </is>
      </c>
      <c r="F9" s="13" t="inlineStr">
        <is>
          <t>Security</t>
        </is>
      </c>
      <c r="G9" s="14" t="inlineStr">
        <is>
          <t>A broker account has been connected at least once.</t>
        </is>
      </c>
      <c r="H9" s="14" t="inlineStr">
        <is>
          <t>1. Open the newest log folder
2. Open app.log in Notepad
3. Use Ctrl+F to search for the password, API key, TOTP and access token you entered</t>
        </is>
      </c>
      <c r="I9" s="14" t="inlineStr">
        <is>
          <t>The credentials used to connect</t>
        </is>
      </c>
      <c r="J9" s="14" t="inlineStr">
        <is>
          <t>None of the secret values appear anywhere in the log file.</t>
        </is>
      </c>
      <c r="K9" s="14" t="inlineStr"/>
      <c r="L9" s="15" t="inlineStr">
        <is>
          <t>Not Run</t>
        </is>
      </c>
      <c r="M9" s="13" t="inlineStr"/>
      <c r="N9" s="13" t="inlineStr"/>
      <c r="O9" s="13" t="inlineStr"/>
      <c r="P9" s="14" t="inlineStr"/>
    </row>
    <row r="10">
      <c r="A10" s="8" t="inlineStr">
        <is>
          <t>TC-UI-201</t>
        </is>
      </c>
      <c r="B10" s="9" t="inlineStr">
        <is>
          <t>App Shell</t>
        </is>
      </c>
      <c r="C10" s="9" t="inlineStr">
        <is>
          <t>Navigation</t>
        </is>
      </c>
      <c r="D10" s="10" t="inlineStr">
        <is>
          <t>All six screens open from the left rail</t>
        </is>
      </c>
      <c r="E10" s="9" t="inlineStr">
        <is>
          <t>P1 - Critical</t>
        </is>
      </c>
      <c r="F10" s="9" t="inlineStr">
        <is>
          <t>UI / UX</t>
        </is>
      </c>
      <c r="G10" s="10" t="inlineStr">
        <is>
          <t>Charticks is installed and open; sidecar (engine) is running.</t>
        </is>
      </c>
      <c r="H10" s="10" t="inlineStr">
        <is>
          <t>1. Click each rail icon in turn: Home, Orders, Positions, Strategies, Brokers, Settings
2. Confirm the screen changes each time</t>
        </is>
      </c>
      <c r="I10" s="10" t="inlineStr">
        <is>
          <t>-</t>
        </is>
      </c>
      <c r="J10" s="10" t="inlineStr">
        <is>
          <t>Each click loads the matching screen, the active icon is highlighted, and no screen is blank or throws an error.</t>
        </is>
      </c>
      <c r="K10" s="10" t="inlineStr"/>
      <c r="L10" s="11" t="inlineStr">
        <is>
          <t>Not Run</t>
        </is>
      </c>
      <c r="M10" s="9" t="inlineStr"/>
      <c r="N10" s="9" t="inlineStr"/>
      <c r="O10" s="9" t="inlineStr"/>
      <c r="P10" s="10" t="inlineStr"/>
    </row>
    <row r="11">
      <c r="A11" s="12" t="inlineStr">
        <is>
          <t>TC-UI-202</t>
        </is>
      </c>
      <c r="B11" s="13" t="inlineStr">
        <is>
          <t>App Shell</t>
        </is>
      </c>
      <c r="C11" s="13" t="inlineStr">
        <is>
          <t>Status bar</t>
        </is>
      </c>
      <c r="D11" s="14" t="inlineStr">
        <is>
          <t>Bridge indicator shows 'Bridge live' when the engine is running</t>
        </is>
      </c>
      <c r="E11" s="13" t="inlineStr">
        <is>
          <t>P1 - Critical</t>
        </is>
      </c>
      <c r="F11" s="13" t="inlineStr">
        <is>
          <t>UI / UX</t>
        </is>
      </c>
      <c r="G11" s="14" t="inlineStr">
        <is>
          <t>Charticks is installed and open; sidecar (engine) is running.</t>
        </is>
      </c>
      <c r="H11" s="14" t="inlineStr">
        <is>
          <t>1. Look at the top-left of the status bar</t>
        </is>
      </c>
      <c r="I11" s="14" t="inlineStr">
        <is>
          <t>-</t>
        </is>
      </c>
      <c r="J11" s="14" t="inlineStr">
        <is>
          <t>A green dot with 'Bridge live'. If the engine is stopped it reads 'Connecting...' with a dimmed dot.</t>
        </is>
      </c>
      <c r="K11" s="14" t="inlineStr"/>
      <c r="L11" s="15" t="inlineStr">
        <is>
          <t>Not Run</t>
        </is>
      </c>
      <c r="M11" s="13" t="inlineStr"/>
      <c r="N11" s="13" t="inlineStr"/>
      <c r="O11" s="13" t="inlineStr"/>
      <c r="P11" s="14" t="inlineStr"/>
    </row>
    <row r="12">
      <c r="A12" s="8" t="inlineStr">
        <is>
          <t>TC-UI-203</t>
        </is>
      </c>
      <c r="B12" s="9" t="inlineStr">
        <is>
          <t>App Shell</t>
        </is>
      </c>
      <c r="C12" s="9" t="inlineStr">
        <is>
          <t>Status bar</t>
        </is>
      </c>
      <c r="D12" s="10" t="inlineStr">
        <is>
          <t>Clock ticks in real time</t>
        </is>
      </c>
      <c r="E12" s="9" t="inlineStr">
        <is>
          <t>P3 - Medium</t>
        </is>
      </c>
      <c r="F12" s="9" t="inlineStr">
        <is>
          <t>UI / UX</t>
        </is>
      </c>
      <c r="G12" s="10" t="inlineStr">
        <is>
          <t>Charticks is installed and open; sidecar (engine) is running.</t>
        </is>
      </c>
      <c r="H12" s="10" t="inlineStr">
        <is>
          <t>1. Watch the clock on the right of the status bar for 5 seconds</t>
        </is>
      </c>
      <c r="I12" s="10" t="inlineStr">
        <is>
          <t>-</t>
        </is>
      </c>
      <c r="J12" s="10" t="inlineStr">
        <is>
          <t>The time updates every second in 24-hour format.</t>
        </is>
      </c>
      <c r="K12" s="10" t="inlineStr"/>
      <c r="L12" s="11" t="inlineStr">
        <is>
          <t>Not Run</t>
        </is>
      </c>
      <c r="M12" s="9" t="inlineStr"/>
      <c r="N12" s="9" t="inlineStr"/>
      <c r="O12" s="9" t="inlineStr"/>
      <c r="P12" s="10" t="inlineStr"/>
    </row>
    <row r="13">
      <c r="A13" s="12" t="inlineStr">
        <is>
          <t>TC-UI-204</t>
        </is>
      </c>
      <c r="B13" s="13" t="inlineStr">
        <is>
          <t>App Shell</t>
        </is>
      </c>
      <c r="C13" s="13" t="inlineStr">
        <is>
          <t>Theme</t>
        </is>
      </c>
      <c r="D13" s="14" t="inlineStr">
        <is>
          <t>Theme toggles between dark and light and stays applied</t>
        </is>
      </c>
      <c r="E13" s="13" t="inlineStr">
        <is>
          <t>P2 - High</t>
        </is>
      </c>
      <c r="F13" s="13" t="inlineStr">
        <is>
          <t>UI / UX</t>
        </is>
      </c>
      <c r="G13" s="14" t="inlineStr">
        <is>
          <t>Charticks is installed and open; sidecar (engine) is running.</t>
        </is>
      </c>
      <c r="H13" s="14" t="inlineStr">
        <is>
          <t>1. Click the sun/moon button at the top right
2. Observe the whole window
3. Click it again</t>
        </is>
      </c>
      <c r="I13" s="14" t="inlineStr">
        <is>
          <t>-</t>
        </is>
      </c>
      <c r="J13" s="14" t="inlineStr">
        <is>
          <t>The entire UI switches theme (not just part of it), the icon flips, and switching back restores the original theme. Text stays readable in both.</t>
        </is>
      </c>
      <c r="K13" s="14" t="inlineStr"/>
      <c r="L13" s="15" t="inlineStr">
        <is>
          <t>Not Run</t>
        </is>
      </c>
      <c r="M13" s="13" t="inlineStr"/>
      <c r="N13" s="13" t="inlineStr"/>
      <c r="O13" s="13" t="inlineStr"/>
      <c r="P13" s="14" t="inlineStr"/>
    </row>
    <row r="14">
      <c r="A14" s="8" t="inlineStr">
        <is>
          <t>TC-UI-205</t>
        </is>
      </c>
      <c r="B14" s="9" t="inlineStr">
        <is>
          <t>App Shell</t>
        </is>
      </c>
      <c r="C14" s="9" t="inlineStr">
        <is>
          <t>Density</t>
        </is>
      </c>
      <c r="D14" s="10" t="inlineStr">
        <is>
          <t>Density switches between Comfortable / Compact / Dense</t>
        </is>
      </c>
      <c r="E14" s="9" t="inlineStr">
        <is>
          <t>P2 - High</t>
        </is>
      </c>
      <c r="F14" s="9" t="inlineStr">
        <is>
          <t>UI / UX</t>
        </is>
      </c>
      <c r="G14" s="10" t="inlineStr">
        <is>
          <t>Charticks is installed and open; sidecar (engine) is running.</t>
        </is>
      </c>
      <c r="H14" s="10" t="inlineStr">
        <is>
          <t>1. Click each of the three density buttons in the status bar
2. Watch the Positions and Option Chain rows</t>
        </is>
      </c>
      <c r="I14" s="10" t="inlineStr">
        <is>
          <t>-</t>
        </is>
      </c>
      <c r="J14" s="10" t="inlineStr">
        <is>
          <t>Row heights and paddings visibly tighten from Comfortable to Dense. No text is clipped or overlapping at any density.</t>
        </is>
      </c>
      <c r="K14" s="10" t="inlineStr"/>
      <c r="L14" s="11" t="inlineStr">
        <is>
          <t>Not Run</t>
        </is>
      </c>
      <c r="M14" s="9" t="inlineStr"/>
      <c r="N14" s="9" t="inlineStr"/>
      <c r="O14" s="9" t="inlineStr"/>
      <c r="P14" s="10" t="inlineStr"/>
    </row>
    <row r="15">
      <c r="A15" s="12" t="inlineStr">
        <is>
          <t>TC-UI-206</t>
        </is>
      </c>
      <c r="B15" s="13" t="inlineStr">
        <is>
          <t>App Shell</t>
        </is>
      </c>
      <c r="C15" s="13" t="inlineStr">
        <is>
          <t>Broker indicator</t>
        </is>
      </c>
      <c r="D15" s="14" t="inlineStr">
        <is>
          <t>Broker badge reflects the real connection state</t>
        </is>
      </c>
      <c r="E15" s="13" t="inlineStr">
        <is>
          <t>P1 - Critical</t>
        </is>
      </c>
      <c r="F15" s="13" t="inlineStr">
        <is>
          <t>UI / UX</t>
        </is>
      </c>
      <c r="G15" s="14" t="inlineStr">
        <is>
          <t>Charticks is installed and open; sidecar (engine) is running.</t>
        </is>
      </c>
      <c r="H15" s="14" t="inlineStr">
        <is>
          <t>1. With no broker connected, read the badge
2. Connect a broker
3. Read the badge again
4. Click the badge</t>
        </is>
      </c>
      <c r="I15" s="14" t="inlineStr">
        <is>
          <t>-</t>
        </is>
      </c>
      <c r="J15" s="14" t="inlineStr">
        <is>
          <t>Badge reads 'Disconnected' before and 'Brokers (1)' after. Clicking it opens a popover listing connected accounts with a 'Manage Brokers' action.</t>
        </is>
      </c>
      <c r="K15" s="14" t="inlineStr"/>
      <c r="L15" s="15" t="inlineStr">
        <is>
          <t>Not Run</t>
        </is>
      </c>
      <c r="M15" s="13" t="inlineStr"/>
      <c r="N15" s="13" t="inlineStr"/>
      <c r="O15" s="13" t="inlineStr"/>
      <c r="P15" s="14" t="inlineStr"/>
    </row>
    <row r="16">
      <c r="A16" s="8" t="inlineStr">
        <is>
          <t>TC-UI-207</t>
        </is>
      </c>
      <c r="B16" s="9" t="inlineStr">
        <is>
          <t>App Shell</t>
        </is>
      </c>
      <c r="C16" s="9" t="inlineStr">
        <is>
          <t>Broker indicator</t>
        </is>
      </c>
      <c r="D16" s="10" t="inlineStr">
        <is>
          <t>Badge distinguishes 'logged in but market data down' from 'connected'</t>
        </is>
      </c>
      <c r="E16" s="9" t="inlineStr">
        <is>
          <t>P2 - High</t>
        </is>
      </c>
      <c r="F16" s="9" t="inlineStr">
        <is>
          <t>UI / UX</t>
        </is>
      </c>
      <c r="G16" s="10" t="inlineStr">
        <is>
          <t>A broker is logged in but the tick feed is down (e.g. disconnect the network briefly).</t>
        </is>
      </c>
      <c r="H16" s="10" t="inlineStr">
        <is>
          <t>1. Pull the network cable / turn Wi-Fi off for ~30 seconds
2. Watch the broker badge
3. Click it</t>
        </is>
      </c>
      <c r="I16" s="10" t="inlineStr">
        <is>
          <t>-</t>
        </is>
      </c>
      <c r="J16" s="10" t="inlineStr">
        <is>
          <t>Badge changes to 'Market Data Down' (not a plain green 'Brokers (1)'), and the popover explains that accounts are logged in but no prices are arriving.</t>
        </is>
      </c>
      <c r="K16" s="10" t="inlineStr"/>
      <c r="L16" s="11" t="inlineStr">
        <is>
          <t>Not Run</t>
        </is>
      </c>
      <c r="M16" s="9" t="inlineStr"/>
      <c r="N16" s="9" t="inlineStr"/>
      <c r="O16" s="9" t="inlineStr"/>
      <c r="P16" s="10" t="inlineStr"/>
    </row>
    <row r="17">
      <c r="A17" s="12" t="inlineStr">
        <is>
          <t>TC-UI-208</t>
        </is>
      </c>
      <c r="B17" s="13" t="inlineStr">
        <is>
          <t>App Shell</t>
        </is>
      </c>
      <c r="C17" s="13" t="inlineStr">
        <is>
          <t>Kill switch</t>
        </is>
      </c>
      <c r="D17" s="14" t="inlineStr">
        <is>
          <t>Kill-switch control is visible and shows the halted state</t>
        </is>
      </c>
      <c r="E17" s="13" t="inlineStr">
        <is>
          <t>P2 - High</t>
        </is>
      </c>
      <c r="F17" s="13" t="inlineStr">
        <is>
          <t>UI / UX</t>
        </is>
      </c>
      <c r="G17" s="14" t="inlineStr">
        <is>
          <t>Charticks is installed and open; sidecar (engine) is running.</t>
        </is>
      </c>
      <c r="H17" s="14" t="inlineStr">
        <is>
          <t>1. Look at the Kill-switch button in the status bar</t>
        </is>
      </c>
      <c r="I17" s="14" t="inlineStr">
        <is>
          <t>-</t>
        </is>
      </c>
      <c r="J17" s="14" t="inlineStr">
        <is>
          <t>Button is present and reads 'Kill-switch'; it reads 'Halted' with a highlighted style when risk has halted trading.</t>
        </is>
      </c>
      <c r="K17" s="14" t="inlineStr"/>
      <c r="L17" s="15" t="inlineStr">
        <is>
          <t>Not Run</t>
        </is>
      </c>
      <c r="M17" s="13" t="inlineStr"/>
      <c r="N17" s="13" t="inlineStr"/>
      <c r="O17" s="13" t="inlineStr"/>
      <c r="P17" s="14" t="inlineStr"/>
    </row>
    <row r="18">
      <c r="A18" s="8" t="inlineStr">
        <is>
          <t>TC-BRK-201</t>
        </is>
      </c>
      <c r="B18" s="9" t="inlineStr">
        <is>
          <t>Brokers</t>
        </is>
      </c>
      <c r="C18" s="9" t="inlineStr">
        <is>
          <t>Account CRUD</t>
        </is>
      </c>
      <c r="D18" s="10" t="inlineStr">
        <is>
          <t>A new broker account can be added</t>
        </is>
      </c>
      <c r="E18" s="9" t="inlineStr">
        <is>
          <t>P1 - Critical</t>
        </is>
      </c>
      <c r="F18" s="9" t="inlineStr">
        <is>
          <t>Functional</t>
        </is>
      </c>
      <c r="G18" s="10" t="inlineStr">
        <is>
          <t>Charticks is installed and open; sidecar (engine) is running.</t>
        </is>
      </c>
      <c r="H18" s="10" t="inlineStr">
        <is>
          <t>1. Go to Brokers
2. Click '+ Add Broker'
3. Choose the broker
4. Fill in every credential field
5. Give it a nickname
6. Click Save</t>
        </is>
      </c>
      <c r="I18" s="10" t="inlineStr">
        <is>
          <t>A TEST / paper broker account's credentials</t>
        </is>
      </c>
      <c r="J18" s="10" t="inlineStr">
        <is>
          <t>The dialog closes and the account appears in the list with its nickname and a grey (disconnected) dot. The counter reads '1 configured'.</t>
        </is>
      </c>
      <c r="K18" s="10" t="inlineStr"/>
      <c r="L18" s="11" t="inlineStr">
        <is>
          <t>Not Run</t>
        </is>
      </c>
      <c r="M18" s="9" t="inlineStr"/>
      <c r="N18" s="9" t="inlineStr"/>
      <c r="O18" s="9" t="inlineStr"/>
      <c r="P18" s="10" t="inlineStr"/>
    </row>
    <row r="19">
      <c r="A19" s="12" t="inlineStr">
        <is>
          <t>TC-BRK-202</t>
        </is>
      </c>
      <c r="B19" s="13" t="inlineStr">
        <is>
          <t>Brokers</t>
        </is>
      </c>
      <c r="C19" s="13" t="inlineStr">
        <is>
          <t>Account CRUD</t>
        </is>
      </c>
      <c r="D19" s="14" t="inlineStr">
        <is>
          <t>Adding an account with empty required fields is refused</t>
        </is>
      </c>
      <c r="E19" s="13" t="inlineStr">
        <is>
          <t>P2 - High</t>
        </is>
      </c>
      <c r="F19" s="13" t="inlineStr">
        <is>
          <t>Negative</t>
        </is>
      </c>
      <c r="G19" s="14" t="inlineStr">
        <is>
          <t>Charticks is installed and open; sidecar (engine) is running.</t>
        </is>
      </c>
      <c r="H19" s="14" t="inlineStr">
        <is>
          <t>1. Click '+ Add Broker'
2. Leave the credential fields blank
3. Click Save</t>
        </is>
      </c>
      <c r="I19" s="14" t="inlineStr">
        <is>
          <t>Empty form</t>
        </is>
      </c>
      <c r="J19" s="14" t="inlineStr">
        <is>
          <t>The account is NOT created; the form shows which fields are required. No entry appears in the list.</t>
        </is>
      </c>
      <c r="K19" s="14" t="inlineStr"/>
      <c r="L19" s="15" t="inlineStr">
        <is>
          <t>Not Run</t>
        </is>
      </c>
      <c r="M19" s="13" t="inlineStr"/>
      <c r="N19" s="13" t="inlineStr"/>
      <c r="O19" s="13" t="inlineStr"/>
      <c r="P19" s="14" t="inlineStr"/>
    </row>
    <row r="20">
      <c r="A20" s="8" t="inlineStr">
        <is>
          <t>TC-BRK-203</t>
        </is>
      </c>
      <c r="B20" s="9" t="inlineStr">
        <is>
          <t>Brokers</t>
        </is>
      </c>
      <c r="C20" s="9" t="inlineStr">
        <is>
          <t>Account CRUD</t>
        </is>
      </c>
      <c r="D20" s="10" t="inlineStr">
        <is>
          <t>An account can be renamed</t>
        </is>
      </c>
      <c r="E20" s="9" t="inlineStr">
        <is>
          <t>P2 - High</t>
        </is>
      </c>
      <c r="F20" s="9" t="inlineStr">
        <is>
          <t>Functional</t>
        </is>
      </c>
      <c r="G20" s="10" t="inlineStr">
        <is>
          <t>At least one account exists.</t>
        </is>
      </c>
      <c r="H20" s="10" t="inlineStr">
        <is>
          <t>1. Tick the account's checkbox
2. Click 'Manage' &gt; 'Rename Broker'
3. Enter a new nickname
4. Save</t>
        </is>
      </c>
      <c r="I20" s="10" t="inlineStr">
        <is>
          <t>New nickname e.g. 'Angel - Test'</t>
        </is>
      </c>
      <c r="J20" s="10" t="inlineStr">
        <is>
          <t>The list row shows the new nickname immediately. Credentials and connection state are unchanged.</t>
        </is>
      </c>
      <c r="K20" s="10" t="inlineStr"/>
      <c r="L20" s="11" t="inlineStr">
        <is>
          <t>Not Run</t>
        </is>
      </c>
      <c r="M20" s="9" t="inlineStr"/>
      <c r="N20" s="9" t="inlineStr"/>
      <c r="O20" s="9" t="inlineStr"/>
      <c r="P20" s="10" t="inlineStr"/>
    </row>
    <row r="21">
      <c r="A21" s="12" t="inlineStr">
        <is>
          <t>TC-BRK-204</t>
        </is>
      </c>
      <c r="B21" s="13" t="inlineStr">
        <is>
          <t>Brokers</t>
        </is>
      </c>
      <c r="C21" s="13" t="inlineStr">
        <is>
          <t>Account CRUD</t>
        </is>
      </c>
      <c r="D21" s="14" t="inlineStr">
        <is>
          <t>Credentials can be edited without re-creating the account</t>
        </is>
      </c>
      <c r="E21" s="13" t="inlineStr">
        <is>
          <t>P2 - High</t>
        </is>
      </c>
      <c r="F21" s="13" t="inlineStr">
        <is>
          <t>Functional</t>
        </is>
      </c>
      <c r="G21" s="14" t="inlineStr">
        <is>
          <t>At least one account exists.</t>
        </is>
      </c>
      <c r="H21" s="14" t="inlineStr">
        <is>
          <t>1. Tick the account
2. 'Manage' &gt; 'Edit Credentials'
3. Change a field
4. Save
5. Click Connect</t>
        </is>
      </c>
      <c r="I21" s="14" t="inlineStr">
        <is>
          <t>Updated credentials</t>
        </is>
      </c>
      <c r="J21" s="14" t="inlineStr">
        <is>
          <t>Save succeeds and the account connects with the new credentials. The account id / nickname does not change.</t>
        </is>
      </c>
      <c r="K21" s="14" t="inlineStr"/>
      <c r="L21" s="15" t="inlineStr">
        <is>
          <t>Not Run</t>
        </is>
      </c>
      <c r="M21" s="13" t="inlineStr"/>
      <c r="N21" s="13" t="inlineStr"/>
      <c r="O21" s="13" t="inlineStr"/>
      <c r="P21" s="14" t="inlineStr"/>
    </row>
    <row r="22">
      <c r="A22" s="8" t="inlineStr">
        <is>
          <t>TC-BRK-205</t>
        </is>
      </c>
      <c r="B22" s="9" t="inlineStr">
        <is>
          <t>Brokers</t>
        </is>
      </c>
      <c r="C22" s="9" t="inlineStr">
        <is>
          <t>Account CRUD</t>
        </is>
      </c>
      <c r="D22" s="10" t="inlineStr">
        <is>
          <t>A single account can be deleted with confirmation</t>
        </is>
      </c>
      <c r="E22" s="9" t="inlineStr">
        <is>
          <t>P2 - High</t>
        </is>
      </c>
      <c r="F22" s="9" t="inlineStr">
        <is>
          <t>Functional</t>
        </is>
      </c>
      <c r="G22" s="10" t="inlineStr">
        <is>
          <t>At least one account exists.</t>
        </is>
      </c>
      <c r="H22" s="10" t="inlineStr">
        <is>
          <t>1. Tick one account
2. 'Manage' &gt; 'Delete Broker'
3. Read the confirmation
4. Confirm</t>
        </is>
      </c>
      <c r="I22" s="10" t="inlineStr">
        <is>
          <t>-</t>
        </is>
      </c>
      <c r="J22" s="10" t="inlineStr">
        <is>
          <t>A confirmation dialog names the account. After confirming, the row disappears and the 'configured' count decreases.</t>
        </is>
      </c>
      <c r="K22" s="10" t="inlineStr"/>
      <c r="L22" s="11" t="inlineStr">
        <is>
          <t>Not Run</t>
        </is>
      </c>
      <c r="M22" s="9" t="inlineStr"/>
      <c r="N22" s="9" t="inlineStr"/>
      <c r="O22" s="9" t="inlineStr"/>
      <c r="P22" s="10" t="inlineStr"/>
    </row>
    <row r="23">
      <c r="A23" s="12" t="inlineStr">
        <is>
          <t>TC-BRK-206</t>
        </is>
      </c>
      <c r="B23" s="13" t="inlineStr">
        <is>
          <t>Brokers</t>
        </is>
      </c>
      <c r="C23" s="13" t="inlineStr">
        <is>
          <t>Account CRUD</t>
        </is>
      </c>
      <c r="D23" s="14" t="inlineStr">
        <is>
          <t>Multiple accounts can be deleted in one action</t>
        </is>
      </c>
      <c r="E23" s="13" t="inlineStr">
        <is>
          <t>P3 - Medium</t>
        </is>
      </c>
      <c r="F23" s="13" t="inlineStr">
        <is>
          <t>Functional</t>
        </is>
      </c>
      <c r="G23" s="14" t="inlineStr">
        <is>
          <t>At least two accounts exist.</t>
        </is>
      </c>
      <c r="H23" s="14" t="inlineStr">
        <is>
          <t>1. Tick two accounts
2. 'Manage' &gt; 'Delete Selected Brokers'
3. Confirm</t>
        </is>
      </c>
      <c r="I23" s="14" t="inlineStr">
        <is>
          <t>-</t>
        </is>
      </c>
      <c r="J23" s="14" t="inlineStr">
        <is>
          <t>The menu item reads 'Delete Selected Brokers', the dialog lists both, and both rows disappear after confirming.</t>
        </is>
      </c>
      <c r="K23" s="14" t="inlineStr"/>
      <c r="L23" s="15" t="inlineStr">
        <is>
          <t>Not Run</t>
        </is>
      </c>
      <c r="M23" s="13" t="inlineStr"/>
      <c r="N23" s="13" t="inlineStr"/>
      <c r="O23" s="13" t="inlineStr"/>
      <c r="P23" s="14" t="inlineStr"/>
    </row>
    <row r="24">
      <c r="A24" s="8" t="inlineStr">
        <is>
          <t>TC-BRK-207</t>
        </is>
      </c>
      <c r="B24" s="9" t="inlineStr">
        <is>
          <t>Brokers</t>
        </is>
      </c>
      <c r="C24" s="9" t="inlineStr">
        <is>
          <t>Toolbar state</t>
        </is>
      </c>
      <c r="D24" s="10" t="inlineStr">
        <is>
          <t>Connect / Disconnect / Manage are disabled with nothing selected</t>
        </is>
      </c>
      <c r="E24" s="9" t="inlineStr">
        <is>
          <t>P2 - High</t>
        </is>
      </c>
      <c r="F24" s="9" t="inlineStr">
        <is>
          <t>UI / UX</t>
        </is>
      </c>
      <c r="G24" s="10" t="inlineStr">
        <is>
          <t>Charticks is installed and open; sidecar (engine) is running.</t>
        </is>
      </c>
      <c r="H24" s="10" t="inlineStr">
        <is>
          <t>1. Go to Brokers with no row ticked
2. Look at the toolbar buttons</t>
        </is>
      </c>
      <c r="I24" s="10" t="inlineStr">
        <is>
          <t>-</t>
        </is>
      </c>
      <c r="J24" s="10" t="inlineStr">
        <is>
          <t>Connect, Disconnect and Manage are greyed out and unclickable. '+ Add Broker' stays enabled.</t>
        </is>
      </c>
      <c r="K24" s="10" t="inlineStr"/>
      <c r="L24" s="11" t="inlineStr">
        <is>
          <t>Not Run</t>
        </is>
      </c>
      <c r="M24" s="9" t="inlineStr"/>
      <c r="N24" s="9" t="inlineStr"/>
      <c r="O24" s="9" t="inlineStr"/>
      <c r="P24" s="10" t="inlineStr"/>
    </row>
    <row r="25">
      <c r="A25" s="12" t="inlineStr">
        <is>
          <t>TC-BRK-208</t>
        </is>
      </c>
      <c r="B25" s="13" t="inlineStr">
        <is>
          <t>Brokers</t>
        </is>
      </c>
      <c r="C25" s="13" t="inlineStr">
        <is>
          <t>Toolbar state</t>
        </is>
      </c>
      <c r="D25" s="14" t="inlineStr">
        <is>
          <t>Edit / Rename need exactly one selection</t>
        </is>
      </c>
      <c r="E25" s="13" t="inlineStr">
        <is>
          <t>P3 - Medium</t>
        </is>
      </c>
      <c r="F25" s="13" t="inlineStr">
        <is>
          <t>UI / UX</t>
        </is>
      </c>
      <c r="G25" s="14" t="inlineStr">
        <is>
          <t>Two accounts exist.</t>
        </is>
      </c>
      <c r="H25" s="14" t="inlineStr">
        <is>
          <t>1. Tick both accounts
2. Open the 'Manage' menu</t>
        </is>
      </c>
      <c r="I25" s="14" t="inlineStr">
        <is>
          <t>-</t>
        </is>
      </c>
      <c r="J25" s="14" t="inlineStr">
        <is>
          <t>'Edit Credentials' and 'Rename Broker' are disabled; only the delete action is available.</t>
        </is>
      </c>
      <c r="K25" s="14" t="inlineStr"/>
      <c r="L25" s="15" t="inlineStr">
        <is>
          <t>Not Run</t>
        </is>
      </c>
      <c r="M25" s="13" t="inlineStr"/>
      <c r="N25" s="13" t="inlineStr"/>
      <c r="O25" s="13" t="inlineStr"/>
      <c r="P25" s="14" t="inlineStr"/>
    </row>
    <row r="26">
      <c r="A26" s="8" t="inlineStr">
        <is>
          <t>TC-BRK-209</t>
        </is>
      </c>
      <c r="B26" s="9" t="inlineStr">
        <is>
          <t>Brokers</t>
        </is>
      </c>
      <c r="C26" s="9" t="inlineStr">
        <is>
          <t>Connect</t>
        </is>
      </c>
      <c r="D26" s="10" t="inlineStr">
        <is>
          <t>Connecting with valid credentials turns the dot green</t>
        </is>
      </c>
      <c r="E26" s="9" t="inlineStr">
        <is>
          <t>P1 - Critical</t>
        </is>
      </c>
      <c r="F26" s="9" t="inlineStr">
        <is>
          <t>Integration</t>
        </is>
      </c>
      <c r="G26" s="10" t="inlineStr">
        <is>
          <t>An account with valid credentials exists.</t>
        </is>
      </c>
      <c r="H26" s="10" t="inlineStr">
        <is>
          <t>1. Tick the account
2. Click Connect
3. Wait up to 30 seconds</t>
        </is>
      </c>
      <c r="I26" s="10" t="inlineStr">
        <is>
          <t>Valid broker credentials</t>
        </is>
      </c>
      <c r="J26" s="10" t="inlineStr">
        <is>
          <t>The status dot turns green. Index prices start ticking on Home and the Option Chain fills with strikes.</t>
        </is>
      </c>
      <c r="K26" s="10" t="inlineStr"/>
      <c r="L26" s="11" t="inlineStr">
        <is>
          <t>Not Run</t>
        </is>
      </c>
      <c r="M26" s="9" t="inlineStr"/>
      <c r="N26" s="9" t="inlineStr"/>
      <c r="O26" s="9" t="inlineStr"/>
      <c r="P26" s="10" t="inlineStr"/>
    </row>
    <row r="27">
      <c r="A27" s="12" t="inlineStr">
        <is>
          <t>TC-BRK-210</t>
        </is>
      </c>
      <c r="B27" s="13" t="inlineStr">
        <is>
          <t>Brokers</t>
        </is>
      </c>
      <c r="C27" s="13" t="inlineStr">
        <is>
          <t>Connect</t>
        </is>
      </c>
      <c r="D27" s="14" t="inlineStr">
        <is>
          <t>Connecting with wrong credentials fails with a readable reason</t>
        </is>
      </c>
      <c r="E27" s="13" t="inlineStr">
        <is>
          <t>P1 - Critical</t>
        </is>
      </c>
      <c r="F27" s="13" t="inlineStr">
        <is>
          <t>Negative</t>
        </is>
      </c>
      <c r="G27" s="14" t="inlineStr">
        <is>
          <t>An account exists with a deliberately wrong password / TOTP.</t>
        </is>
      </c>
      <c r="H27" s="14" t="inlineStr">
        <is>
          <t>1. Tick the account
2. Click Connect
3. Wait for the result</t>
        </is>
      </c>
      <c r="I27" s="14" t="inlineStr">
        <is>
          <t>Deliberately incorrect credentials</t>
        </is>
      </c>
      <c r="J27" s="14" t="inlineStr">
        <is>
          <t>The dot turns red/orange and a short reason is shown next to the row (e.g. invalid credentials). The app does not freeze and no stack trace is displayed.</t>
        </is>
      </c>
      <c r="K27" s="14" t="inlineStr"/>
      <c r="L27" s="15" t="inlineStr">
        <is>
          <t>Not Run</t>
        </is>
      </c>
      <c r="M27" s="13" t="inlineStr"/>
      <c r="N27" s="13" t="inlineStr"/>
      <c r="O27" s="13" t="inlineStr"/>
      <c r="P27" s="14" t="inlineStr"/>
    </row>
    <row r="28">
      <c r="A28" s="8" t="inlineStr">
        <is>
          <t>TC-BRK-211</t>
        </is>
      </c>
      <c r="B28" s="9" t="inlineStr">
        <is>
          <t>Brokers</t>
        </is>
      </c>
      <c r="C28" s="9" t="inlineStr">
        <is>
          <t>Disconnect</t>
        </is>
      </c>
      <c r="D28" s="10" t="inlineStr">
        <is>
          <t>Disconnecting stops the feed and greys the dot</t>
        </is>
      </c>
      <c r="E28" s="9" t="inlineStr">
        <is>
          <t>P2 - High</t>
        </is>
      </c>
      <c r="F28" s="9" t="inlineStr">
        <is>
          <t>Functional</t>
        </is>
      </c>
      <c r="G28" s="10" t="inlineStr">
        <is>
          <t>A broker account is connected (status dot green) and index prices are ticking.</t>
        </is>
      </c>
      <c r="H28" s="10" t="inlineStr">
        <is>
          <t>1. Tick the connected account
2. Click Disconnect
3. Go to Home</t>
        </is>
      </c>
      <c r="I28" s="10" t="inlineStr">
        <is>
          <t>-</t>
        </is>
      </c>
      <c r="J28" s="10" t="inlineStr">
        <is>
          <t>Dot returns to grey, and the index tiles / option chain stop updating. The app stays responsive.</t>
        </is>
      </c>
      <c r="K28" s="10" t="inlineStr"/>
      <c r="L28" s="11" t="inlineStr">
        <is>
          <t>Not Run</t>
        </is>
      </c>
      <c r="M28" s="9" t="inlineStr"/>
      <c r="N28" s="9" t="inlineStr"/>
      <c r="O28" s="9" t="inlineStr"/>
      <c r="P28" s="10" t="inlineStr"/>
    </row>
    <row r="29">
      <c r="A29" s="12" t="inlineStr">
        <is>
          <t>TC-BRK-212</t>
        </is>
      </c>
      <c r="B29" s="13" t="inlineStr">
        <is>
          <t>Brokers</t>
        </is>
      </c>
      <c r="C29" s="13" t="inlineStr">
        <is>
          <t>Empty state</t>
        </is>
      </c>
      <c r="D29" s="14" t="inlineStr">
        <is>
          <t>Empty broker list shows a helpful message</t>
        </is>
      </c>
      <c r="E29" s="13" t="inlineStr">
        <is>
          <t>P3 - Medium</t>
        </is>
      </c>
      <c r="F29" s="13" t="inlineStr">
        <is>
          <t>UI / UX</t>
        </is>
      </c>
      <c r="G29" s="14" t="inlineStr">
        <is>
          <t>No accounts configured.</t>
        </is>
      </c>
      <c r="H29" s="14" t="inlineStr">
        <is>
          <t>1. Go to Brokers</t>
        </is>
      </c>
      <c r="I29" s="14" t="inlineStr">
        <is>
          <t>-</t>
        </is>
      </c>
      <c r="J29" s="14" t="inlineStr">
        <is>
          <t>The list shows 'No brokers configured yet. Add one to get started.' rather than an empty box.</t>
        </is>
      </c>
      <c r="K29" s="14" t="inlineStr"/>
      <c r="L29" s="15" t="inlineStr">
        <is>
          <t>Not Run</t>
        </is>
      </c>
      <c r="M29" s="13" t="inlineStr"/>
      <c r="N29" s="13" t="inlineStr"/>
      <c r="O29" s="13" t="inlineStr"/>
      <c r="P29" s="14" t="inlineStr"/>
    </row>
    <row r="30">
      <c r="A30" s="8" t="inlineStr">
        <is>
          <t>TC-BRK-213</t>
        </is>
      </c>
      <c r="B30" s="9" t="inlineStr">
        <is>
          <t>Brokers</t>
        </is>
      </c>
      <c r="C30" s="9" t="inlineStr">
        <is>
          <t>Security</t>
        </is>
      </c>
      <c r="D30" s="10" t="inlineStr">
        <is>
          <t>Credentials are never displayed in plain text after saving</t>
        </is>
      </c>
      <c r="E30" s="9" t="inlineStr">
        <is>
          <t>P1 - Critical</t>
        </is>
      </c>
      <c r="F30" s="9" t="inlineStr">
        <is>
          <t>Security</t>
        </is>
      </c>
      <c r="G30" s="10" t="inlineStr">
        <is>
          <t>An account has been saved.</t>
        </is>
      </c>
      <c r="H30" s="10" t="inlineStr">
        <is>
          <t>1. Open 'Edit Credentials' for the account
2. Look at the password / API key fields</t>
        </is>
      </c>
      <c r="I30" s="10" t="inlineStr">
        <is>
          <t>-</t>
        </is>
      </c>
      <c r="J30" s="10" t="inlineStr">
        <is>
          <t>Secret fields are masked (dots), not shown as readable text.</t>
        </is>
      </c>
      <c r="K30" s="10" t="inlineStr"/>
      <c r="L30" s="11" t="inlineStr">
        <is>
          <t>Not Run</t>
        </is>
      </c>
      <c r="M30" s="9" t="inlineStr"/>
      <c r="N30" s="9" t="inlineStr"/>
      <c r="O30" s="9" t="inlineStr"/>
      <c r="P30" s="10" t="inlineStr"/>
    </row>
    <row r="31">
      <c r="A31" s="12" t="inlineStr">
        <is>
          <t>TC-BRK-214</t>
        </is>
      </c>
      <c r="B31" s="13" t="inlineStr">
        <is>
          <t>Brokers</t>
        </is>
      </c>
      <c r="C31" s="13" t="inlineStr">
        <is>
          <t>Reliability</t>
        </is>
      </c>
      <c r="D31" s="14" t="inlineStr">
        <is>
          <t>Feed recovers automatically after the network returns</t>
        </is>
      </c>
      <c r="E31" s="13" t="inlineStr">
        <is>
          <t>P1 - Critical</t>
        </is>
      </c>
      <c r="F31" s="13" t="inlineStr">
        <is>
          <t>Integration</t>
        </is>
      </c>
      <c r="G31" s="14" t="inlineStr">
        <is>
          <t>A broker account is connected (status dot green) and index prices are ticking.</t>
        </is>
      </c>
      <c r="H31" s="14" t="inlineStr">
        <is>
          <t>1. Disconnect the network for 60 seconds
2. Watch the broker badge
3. Reconnect the network
4. Wait up to 60 seconds</t>
        </is>
      </c>
      <c r="I31" s="14" t="inlineStr">
        <is>
          <t>-</t>
        </is>
      </c>
      <c r="J31" s="14" t="inlineStr">
        <is>
          <t>Badge shows reconnecting / market data down while offline, then returns to connected and prices resume WITHOUT the user clicking anything.</t>
        </is>
      </c>
      <c r="K31" s="14" t="inlineStr"/>
      <c r="L31" s="15" t="inlineStr">
        <is>
          <t>Not Run</t>
        </is>
      </c>
      <c r="M31" s="13" t="inlineStr"/>
      <c r="N31" s="13" t="inlineStr"/>
      <c r="O31" s="13" t="inlineStr"/>
      <c r="P31" s="14" t="inlineStr"/>
    </row>
    <row r="32">
      <c r="A32" s="8" t="inlineStr">
        <is>
          <t>TC-IDX-101</t>
        </is>
      </c>
      <c r="B32" s="9" t="inlineStr">
        <is>
          <t>Market Data</t>
        </is>
      </c>
      <c r="C32" s="9" t="inlineStr">
        <is>
          <t>Index tiles</t>
        </is>
      </c>
      <c r="D32" s="10" t="inlineStr">
        <is>
          <t>Index tiles stream live price, change and % change</t>
        </is>
      </c>
      <c r="E32" s="9" t="inlineStr">
        <is>
          <t>P1 - Critical</t>
        </is>
      </c>
      <c r="F32" s="9" t="inlineStr">
        <is>
          <t>Integration</t>
        </is>
      </c>
      <c r="G32" s="10" t="inlineStr">
        <is>
          <t>A broker account is connected (status dot green) and index prices are ticking.</t>
        </is>
      </c>
      <c r="H32" s="10" t="inlineStr">
        <is>
          <t>1. Go to Home
2. Watch the NIFTY and BANKNIFTY tiles for 30 seconds</t>
        </is>
      </c>
      <c r="I32" s="10" t="inlineStr">
        <is>
          <t>-</t>
        </is>
      </c>
      <c r="J32" s="10" t="inlineStr">
        <is>
          <t>Each tile shows last price, absolute change and % change; values update during market hours and the change is green when positive / red when negative.</t>
        </is>
      </c>
      <c r="K32" s="10" t="inlineStr"/>
      <c r="L32" s="11" t="inlineStr">
        <is>
          <t>Not Run</t>
        </is>
      </c>
      <c r="M32" s="9" t="inlineStr"/>
      <c r="N32" s="9" t="inlineStr"/>
      <c r="O32" s="9" t="inlineStr"/>
      <c r="P32" s="10" t="inlineStr"/>
    </row>
    <row r="33">
      <c r="A33" s="12" t="inlineStr">
        <is>
          <t>TC-IDX-102</t>
        </is>
      </c>
      <c r="B33" s="13" t="inlineStr">
        <is>
          <t>Market Data</t>
        </is>
      </c>
      <c r="C33" s="13" t="inlineStr">
        <is>
          <t>Index tiles</t>
        </is>
      </c>
      <c r="D33" s="14" t="inlineStr">
        <is>
          <t>Price changes flash so movement is noticeable</t>
        </is>
      </c>
      <c r="E33" s="13" t="inlineStr">
        <is>
          <t>P3 - Medium</t>
        </is>
      </c>
      <c r="F33" s="13" t="inlineStr">
        <is>
          <t>UI / UX</t>
        </is>
      </c>
      <c r="G33" s="14" t="inlineStr">
        <is>
          <t>Market is OPEN (09:15-15:30 IST, Mon-Fri) and a broker is connected.</t>
        </is>
      </c>
      <c r="H33" s="14" t="inlineStr">
        <is>
          <t>1. Watch an index tile / an LTP cell as the price changes</t>
        </is>
      </c>
      <c r="I33" s="14" t="inlineStr">
        <is>
          <t>-</t>
        </is>
      </c>
      <c r="J33" s="14" t="inlineStr">
        <is>
          <t>The number briefly flashes (up/down colour) when it changes, then settles.</t>
        </is>
      </c>
      <c r="K33" s="14" t="inlineStr"/>
      <c r="L33" s="15" t="inlineStr">
        <is>
          <t>Not Run</t>
        </is>
      </c>
      <c r="M33" s="13" t="inlineStr"/>
      <c r="N33" s="13" t="inlineStr"/>
      <c r="O33" s="13" t="inlineStr"/>
      <c r="P33" s="14" t="inlineStr"/>
    </row>
    <row r="34">
      <c r="A34" s="8" t="inlineStr">
        <is>
          <t>TC-IDX-103</t>
        </is>
      </c>
      <c r="B34" s="9" t="inlineStr">
        <is>
          <t>Market Data</t>
        </is>
      </c>
      <c r="C34" s="9" t="inlineStr">
        <is>
          <t>Index tiles</t>
        </is>
      </c>
      <c r="D34" s="10" t="inlineStr">
        <is>
          <t>A tile with no feed says so instead of showing a stale number</t>
        </is>
      </c>
      <c r="E34" s="9" t="inlineStr">
        <is>
          <t>P2 - High</t>
        </is>
      </c>
      <c r="F34" s="9" t="inlineStr">
        <is>
          <t>UI / UX</t>
        </is>
      </c>
      <c r="G34" s="10" t="inlineStr">
        <is>
          <t>A broker account is connected (status dot green) and index prices are ticking.</t>
        </is>
      </c>
      <c r="H34" s="10" t="inlineStr">
        <is>
          <t>1. Look at any index that the connected broker does not stream (e.g. SENSEX on an NSE-only feed)</t>
        </is>
      </c>
      <c r="I34" s="10" t="inlineStr">
        <is>
          <t>-</t>
        </is>
      </c>
      <c r="J34" s="10" t="inlineStr">
        <is>
          <t>The tile shows a dash and 'Waiting for feed...' rather than 0.00 or an old price.</t>
        </is>
      </c>
      <c r="K34" s="10" t="inlineStr"/>
      <c r="L34" s="11" t="inlineStr">
        <is>
          <t>Not Run</t>
        </is>
      </c>
      <c r="M34" s="9" t="inlineStr"/>
      <c r="N34" s="9" t="inlineStr"/>
      <c r="O34" s="9" t="inlineStr"/>
      <c r="P34" s="10" t="inlineStr"/>
    </row>
    <row r="35">
      <c r="A35" s="12" t="inlineStr">
        <is>
          <t>TC-IDX-104</t>
        </is>
      </c>
      <c r="B35" s="13" t="inlineStr">
        <is>
          <t>Market Data</t>
        </is>
      </c>
      <c r="C35" s="13" t="inlineStr">
        <is>
          <t>Customise</t>
        </is>
      </c>
      <c r="D35" s="14" t="inlineStr">
        <is>
          <t>Indices shown on Home can be customised</t>
        </is>
      </c>
      <c r="E35" s="13" t="inlineStr">
        <is>
          <t>P2 - High</t>
        </is>
      </c>
      <c r="F35" s="13" t="inlineStr">
        <is>
          <t>Functional</t>
        </is>
      </c>
      <c r="G35" s="14" t="inlineStr">
        <is>
          <t>Charticks is installed and open; sidecar (engine) is running.</t>
        </is>
      </c>
      <c r="H35" s="14" t="inlineStr">
        <is>
          <t>1. Click 'Customize indices' on the Indices panel
2. Tick and untick indices
3. Close the popover</t>
        </is>
      </c>
      <c r="I35" s="14" t="inlineStr">
        <is>
          <t>-</t>
        </is>
      </c>
      <c r="J35" s="14" t="inlineStr">
        <is>
          <t>The Home tiles match the selection immediately, and the selection survives switching screens.</t>
        </is>
      </c>
      <c r="K35" s="14" t="inlineStr"/>
      <c r="L35" s="15" t="inlineStr">
        <is>
          <t>Not Run</t>
        </is>
      </c>
      <c r="M35" s="13" t="inlineStr"/>
      <c r="N35" s="13" t="inlineStr"/>
      <c r="O35" s="13" t="inlineStr"/>
      <c r="P35" s="14" t="inlineStr"/>
    </row>
    <row r="36">
      <c r="A36" s="8" t="inlineStr">
        <is>
          <t>TC-IDX-105</t>
        </is>
      </c>
      <c r="B36" s="9" t="inlineStr">
        <is>
          <t>Market Data</t>
        </is>
      </c>
      <c r="C36" s="9" t="inlineStr">
        <is>
          <t>Customise</t>
        </is>
      </c>
      <c r="D36" s="10" t="inlineStr">
        <is>
          <t>No more than 8 index tiles can be selected</t>
        </is>
      </c>
      <c r="E36" s="9" t="inlineStr">
        <is>
          <t>P3 - Medium</t>
        </is>
      </c>
      <c r="F36" s="9" t="inlineStr">
        <is>
          <t>Negative</t>
        </is>
      </c>
      <c r="G36" s="10" t="inlineStr">
        <is>
          <t>Charticks is installed and open; sidecar (engine) is running.</t>
        </is>
      </c>
      <c r="H36" s="10" t="inlineStr">
        <is>
          <t>1. Open 'Customize indices'
2. Try to tick a 9th index</t>
        </is>
      </c>
      <c r="I36" s="10" t="inlineStr">
        <is>
          <t>-</t>
        </is>
      </c>
      <c r="J36" s="10" t="inlineStr">
        <is>
          <t>The 9th selection is prevented or the oldest is dropped; the panel never shows more than 8 tiles.</t>
        </is>
      </c>
      <c r="K36" s="10" t="inlineStr"/>
      <c r="L36" s="11" t="inlineStr">
        <is>
          <t>Not Run</t>
        </is>
      </c>
      <c r="M36" s="9" t="inlineStr"/>
      <c r="N36" s="9" t="inlineStr"/>
      <c r="O36" s="9" t="inlineStr"/>
      <c r="P36" s="10" t="inlineStr"/>
    </row>
    <row r="37">
      <c r="A37" s="12" t="inlineStr">
        <is>
          <t>TC-IDX-106</t>
        </is>
      </c>
      <c r="B37" s="13" t="inlineStr">
        <is>
          <t>Market Data</t>
        </is>
      </c>
      <c r="C37" s="13" t="inlineStr">
        <is>
          <t>Feed health</t>
        </is>
      </c>
      <c r="D37" s="14" t="inlineStr">
        <is>
          <t>Feed health is reported separately from broker login</t>
        </is>
      </c>
      <c r="E37" s="13" t="inlineStr">
        <is>
          <t>P2 - High</t>
        </is>
      </c>
      <c r="F37" s="13" t="inlineStr">
        <is>
          <t>Integration</t>
        </is>
      </c>
      <c r="G37" s="14" t="inlineStr">
        <is>
          <t>A broker account is connected (status dot green) and index prices are ticking.</t>
        </is>
      </c>
      <c r="H37" s="14" t="inlineStr">
        <is>
          <t>1. Click the broker badge in the status bar
2. Read the popover while the feed is healthy</t>
        </is>
      </c>
      <c r="I37" s="14" t="inlineStr">
        <is>
          <t>-</t>
        </is>
      </c>
      <c r="J37" s="14" t="inlineStr">
        <is>
          <t>The popover reports connected accounts, and would call out a dead market-data feed separately from a failed login.</t>
        </is>
      </c>
      <c r="K37" s="14" t="inlineStr"/>
      <c r="L37" s="15" t="inlineStr">
        <is>
          <t>Not Run</t>
        </is>
      </c>
      <c r="M37" s="13" t="inlineStr"/>
      <c r="N37" s="13" t="inlineStr"/>
      <c r="O37" s="13" t="inlineStr"/>
      <c r="P37" s="14" t="inlineStr"/>
    </row>
    <row r="38">
      <c r="A38" s="8" t="inlineStr">
        <is>
          <t>TC-CHN-201</t>
        </is>
      </c>
      <c r="B38" s="9" t="inlineStr">
        <is>
          <t>Option Chain</t>
        </is>
      </c>
      <c r="C38" s="9" t="inlineStr">
        <is>
          <t>Rendering</t>
        </is>
      </c>
      <c r="D38" s="10" t="inlineStr">
        <is>
          <t>Chain shows strikes with Call and Put LTPs around the ATM</t>
        </is>
      </c>
      <c r="E38" s="9" t="inlineStr">
        <is>
          <t>P1 - Critical</t>
        </is>
      </c>
      <c r="F38" s="9" t="inlineStr">
        <is>
          <t>Integration</t>
        </is>
      </c>
      <c r="G38" s="10" t="inlineStr">
        <is>
          <t>A broker account is connected (status dot green) and index prices are ticking.</t>
        </is>
      </c>
      <c r="H38" s="10" t="inlineStr">
        <is>
          <t>1. Go to Home
2. Look at the Option Chain panel</t>
        </is>
      </c>
      <c r="I38" s="10" t="inlineStr">
        <is>
          <t>-</t>
        </is>
      </c>
      <c r="J38" s="10" t="inlineStr">
        <is>
          <t>Strikes are listed in ascending order with a Call LTP on the left and Put LTP on the right; the ATM row is highlighted and scrolled into view; the header shows Spot and ATM.</t>
        </is>
      </c>
      <c r="K38" s="10" t="inlineStr"/>
      <c r="L38" s="11" t="inlineStr">
        <is>
          <t>Not Run</t>
        </is>
      </c>
      <c r="M38" s="9" t="inlineStr"/>
      <c r="N38" s="9" t="inlineStr"/>
      <c r="O38" s="9" t="inlineStr"/>
      <c r="P38" s="10" t="inlineStr"/>
    </row>
    <row r="39">
      <c r="A39" s="12" t="inlineStr">
        <is>
          <t>TC-CHN-202</t>
        </is>
      </c>
      <c r="B39" s="13" t="inlineStr">
        <is>
          <t>Option Chain</t>
        </is>
      </c>
      <c r="C39" s="13" t="inlineStr">
        <is>
          <t>Index select</t>
        </is>
      </c>
      <c r="D39" s="14" t="inlineStr">
        <is>
          <t>Switching index reloads the chain for that index</t>
        </is>
      </c>
      <c r="E39" s="13" t="inlineStr">
        <is>
          <t>P1 - Critical</t>
        </is>
      </c>
      <c r="F39" s="13" t="inlineStr">
        <is>
          <t>Functional</t>
        </is>
      </c>
      <c r="G39" s="14" t="inlineStr">
        <is>
          <t>A broker account is connected (status dot green) and index prices are ticking.</t>
        </is>
      </c>
      <c r="H39" s="14" t="inlineStr">
        <is>
          <t>1. Change the Index dropdown from NIFTY to BANKNIFTY
2. Wait a moment</t>
        </is>
      </c>
      <c r="I39" s="14" t="inlineStr">
        <is>
          <t>NIFTY -&gt; BANKNIFTY</t>
        </is>
      </c>
      <c r="J39" s="14" t="inlineStr">
        <is>
          <t>Spot, ATM and all strikes change to BANKNIFTY values, and the strike interval changes (100 for BANKNIFTY vs 50 for NIFTY).</t>
        </is>
      </c>
      <c r="K39" s="14" t="inlineStr"/>
      <c r="L39" s="15" t="inlineStr">
        <is>
          <t>Not Run</t>
        </is>
      </c>
      <c r="M39" s="13" t="inlineStr"/>
      <c r="N39" s="13" t="inlineStr"/>
      <c r="O39" s="13" t="inlineStr"/>
      <c r="P39" s="14" t="inlineStr"/>
    </row>
    <row r="40">
      <c r="A40" s="8" t="inlineStr">
        <is>
          <t>TC-CHN-203</t>
        </is>
      </c>
      <c r="B40" s="9" t="inlineStr">
        <is>
          <t>Option Chain</t>
        </is>
      </c>
      <c r="C40" s="9" t="inlineStr">
        <is>
          <t>Expiry select</t>
        </is>
      </c>
      <c r="D40" s="10" t="inlineStr">
        <is>
          <t>Expiry dropdown lists only contracts that have NOT expired</t>
        </is>
      </c>
      <c r="E40" s="9" t="inlineStr">
        <is>
          <t>P1 - Critical</t>
        </is>
      </c>
      <c r="F40" s="9" t="inlineStr">
        <is>
          <t>Data / Calculation</t>
        </is>
      </c>
      <c r="G40" s="10" t="inlineStr">
        <is>
          <t>A broker account is connected (status dot green) and index prices are ticking.</t>
        </is>
      </c>
      <c r="H40" s="10" t="inlineStr">
        <is>
          <t>1. Open the Expiry dropdown
2. Compare the earliest entry with today's date</t>
        </is>
      </c>
      <c r="I40" s="10" t="inlineStr">
        <is>
          <t>-</t>
        </is>
      </c>
      <c r="J40" s="10" t="inlineStr">
        <is>
          <t>No date earlier than today appears. A contract expiring today is still listed until 15:30, then drops off.</t>
        </is>
      </c>
      <c r="K40" s="10" t="inlineStr"/>
      <c r="L40" s="11" t="inlineStr">
        <is>
          <t>Not Run</t>
        </is>
      </c>
      <c r="M40" s="9" t="inlineStr"/>
      <c r="N40" s="9" t="inlineStr"/>
      <c r="O40" s="9" t="inlineStr"/>
      <c r="P40" s="10" t="inlineStr"/>
    </row>
    <row r="41">
      <c r="A41" s="12" t="inlineStr">
        <is>
          <t>TC-CHN-204</t>
        </is>
      </c>
      <c r="B41" s="13" t="inlineStr">
        <is>
          <t>Option Chain</t>
        </is>
      </c>
      <c r="C41" s="13" t="inlineStr">
        <is>
          <t>Expiry select</t>
        </is>
      </c>
      <c r="D41" s="14" t="inlineStr">
        <is>
          <t>Changing expiry reloads premiums for the new contract</t>
        </is>
      </c>
      <c r="E41" s="13" t="inlineStr">
        <is>
          <t>P1 - Critical</t>
        </is>
      </c>
      <c r="F41" s="13" t="inlineStr">
        <is>
          <t>Functional</t>
        </is>
      </c>
      <c r="G41" s="14" t="inlineStr">
        <is>
          <t>A broker account is connected (status dot green) and index prices are ticking.</t>
        </is>
      </c>
      <c r="H41" s="14" t="inlineStr">
        <is>
          <t>1. Note the ATM Call LTP
2. Select a later expiry
3. Compare the ATM Call LTP</t>
        </is>
      </c>
      <c r="I41" s="14" t="inlineStr">
        <is>
          <t>Nearest vs next expiry</t>
        </is>
      </c>
      <c r="J41" s="14" t="inlineStr">
        <is>
          <t>The premiums change (a further expiry normally shows a higher premium). The strike list stays consistent with the index.</t>
        </is>
      </c>
      <c r="K41" s="14" t="inlineStr"/>
      <c r="L41" s="15" t="inlineStr">
        <is>
          <t>Not Run</t>
        </is>
      </c>
      <c r="M41" s="13" t="inlineStr"/>
      <c r="N41" s="13" t="inlineStr"/>
      <c r="O41" s="13" t="inlineStr"/>
      <c r="P41" s="14" t="inlineStr"/>
    </row>
    <row r="42">
      <c r="A42" s="8" t="inlineStr">
        <is>
          <t>TC-CHN-205</t>
        </is>
      </c>
      <c r="B42" s="9" t="inlineStr">
        <is>
          <t>Option Chain</t>
        </is>
      </c>
      <c r="C42" s="9" t="inlineStr">
        <is>
          <t>Strike range</t>
        </is>
      </c>
      <c r="D42" s="10" t="inlineStr">
        <is>
          <t>Strike-count selector controls how many strikes are shown</t>
        </is>
      </c>
      <c r="E42" s="9" t="inlineStr">
        <is>
          <t>P2 - High</t>
        </is>
      </c>
      <c r="F42" s="9" t="inlineStr">
        <is>
          <t>Functional</t>
        </is>
      </c>
      <c r="G42" s="10" t="inlineStr">
        <is>
          <t>A broker account is connected (status dot green) and index prices are ticking.</t>
        </is>
      </c>
      <c r="H42" s="10" t="inlineStr">
        <is>
          <t>1. Set Strikes to 5
2. Count the rows
3. Set Strikes to 20
4. Count again</t>
        </is>
      </c>
      <c r="I42" s="10" t="inlineStr">
        <is>
          <t>5, 10, 20, All</t>
        </is>
      </c>
      <c r="J42" s="10" t="inlineStr">
        <is>
          <t>The number of rows increases with the selection and stays centred on the ATM.</t>
        </is>
      </c>
      <c r="K42" s="10" t="inlineStr"/>
      <c r="L42" s="11" t="inlineStr">
        <is>
          <t>Not Run</t>
        </is>
      </c>
      <c r="M42" s="9" t="inlineStr"/>
      <c r="N42" s="9" t="inlineStr"/>
      <c r="O42" s="9" t="inlineStr"/>
      <c r="P42" s="10" t="inlineStr"/>
    </row>
    <row r="43">
      <c r="A43" s="12" t="inlineStr">
        <is>
          <t>TC-CHN-206</t>
        </is>
      </c>
      <c r="B43" s="13" t="inlineStr">
        <is>
          <t>Option Chain</t>
        </is>
      </c>
      <c r="C43" s="13" t="inlineStr">
        <is>
          <t>Filter</t>
        </is>
      </c>
      <c r="D43" s="14" t="inlineStr">
        <is>
          <t>Calls Only / Puts Only hide the other side</t>
        </is>
      </c>
      <c r="E43" s="13" t="inlineStr">
        <is>
          <t>P2 - High</t>
        </is>
      </c>
      <c r="F43" s="13" t="inlineStr">
        <is>
          <t>UI / UX</t>
        </is>
      </c>
      <c r="G43" s="14" t="inlineStr">
        <is>
          <t>A broker account is connected (status dot green) and index prices are ticking.</t>
        </is>
      </c>
      <c r="H43" s="14" t="inlineStr">
        <is>
          <t>1. Select 'Calls Only'
2. Select 'Puts Only'
3. Select 'All'</t>
        </is>
      </c>
      <c r="I43" s="14" t="inlineStr">
        <is>
          <t>-</t>
        </is>
      </c>
      <c r="J43" s="14" t="inlineStr">
        <is>
          <t>Only the chosen column plus Strike is shown, and 'All' restores both. No blank columns remain.</t>
        </is>
      </c>
      <c r="K43" s="14" t="inlineStr"/>
      <c r="L43" s="15" t="inlineStr">
        <is>
          <t>Not Run</t>
        </is>
      </c>
      <c r="M43" s="13" t="inlineStr"/>
      <c r="N43" s="13" t="inlineStr"/>
      <c r="O43" s="13" t="inlineStr"/>
      <c r="P43" s="14" t="inlineStr"/>
    </row>
    <row r="44">
      <c r="A44" s="8" t="inlineStr">
        <is>
          <t>TC-CHN-207</t>
        </is>
      </c>
      <c r="B44" s="9" t="inlineStr">
        <is>
          <t>Option Chain</t>
        </is>
      </c>
      <c r="C44" s="9" t="inlineStr">
        <is>
          <t>Empty state</t>
        </is>
      </c>
      <c r="D44" s="10" t="inlineStr">
        <is>
          <t>An empty chain names the real blocker</t>
        </is>
      </c>
      <c r="E44" s="9" t="inlineStr">
        <is>
          <t>P2 - High</t>
        </is>
      </c>
      <c r="F44" s="9" t="inlineStr">
        <is>
          <t>UI / UX</t>
        </is>
      </c>
      <c r="G44" s="10" t="inlineStr">
        <is>
          <t>No broker connected.</t>
        </is>
      </c>
      <c r="H44" s="10" t="inlineStr">
        <is>
          <t>1. With no broker connected, look at the Option Chain body</t>
        </is>
      </c>
      <c r="I44" s="10" t="inlineStr">
        <is>
          <t>-</t>
        </is>
      </c>
      <c r="J44" s="10" t="inlineStr">
        <is>
          <t>It reads 'Connect a broker to stream the live option chain.' When the broker IS connected but the feed is down, it instead says the market data feed is down and reconnecting.</t>
        </is>
      </c>
      <c r="K44" s="10" t="inlineStr"/>
      <c r="L44" s="11" t="inlineStr">
        <is>
          <t>Not Run</t>
        </is>
      </c>
      <c r="M44" s="9" t="inlineStr"/>
      <c r="N44" s="9" t="inlineStr"/>
      <c r="O44" s="9" t="inlineStr"/>
      <c r="P44" s="10" t="inlineStr"/>
    </row>
    <row r="45">
      <c r="A45" s="12" t="inlineStr">
        <is>
          <t>TC-CHN-208</t>
        </is>
      </c>
      <c r="B45" s="13" t="inlineStr">
        <is>
          <t>Option Chain</t>
        </is>
      </c>
      <c r="C45" s="13" t="inlineStr">
        <is>
          <t>Held hint</t>
        </is>
      </c>
      <c r="D45" s="14" t="inlineStr">
        <is>
          <t>Hovering B / S on a strike already held shows the holding</t>
        </is>
      </c>
      <c r="E45" s="13" t="inlineStr">
        <is>
          <t>P3 - Medium</t>
        </is>
      </c>
      <c r="F45" s="13" t="inlineStr">
        <is>
          <t>UI / UX</t>
        </is>
      </c>
      <c r="G45" s="14" t="inlineStr">
        <is>
          <t>An open position exists on a strike shown in the chain.</t>
        </is>
      </c>
      <c r="H45" s="14" t="inlineStr">
        <is>
          <t>1. Hover the Buy button on that strike</t>
        </is>
      </c>
      <c r="I45" s="14" t="inlineStr">
        <is>
          <t>-</t>
        </is>
      </c>
      <c r="J45" s="14" t="inlineStr">
        <is>
          <t>A hint appears reading e.g. 'Already Long 2 Lots'. There is no permanent highlight cluttering the grid.</t>
        </is>
      </c>
      <c r="K45" s="14" t="inlineStr"/>
      <c r="L45" s="15" t="inlineStr">
        <is>
          <t>Not Run</t>
        </is>
      </c>
      <c r="M45" s="13" t="inlineStr"/>
      <c r="N45" s="13" t="inlineStr"/>
      <c r="O45" s="13" t="inlineStr"/>
      <c r="P45" s="14" t="inlineStr"/>
    </row>
    <row r="46">
      <c r="A46" s="8" t="inlineStr">
        <is>
          <t>TC-ORD-301</t>
        </is>
      </c>
      <c r="B46" s="9" t="inlineStr">
        <is>
          <t>Order Entry</t>
        </is>
      </c>
      <c r="C46" s="9" t="inlineStr">
        <is>
          <t>Market order</t>
        </is>
      </c>
      <c r="D46" s="10" t="inlineStr">
        <is>
          <t>Market BUY from the chain opens a position at the traded price</t>
        </is>
      </c>
      <c r="E46" s="9" t="inlineStr">
        <is>
          <t>P1 - Critical</t>
        </is>
      </c>
      <c r="F46" s="9" t="inlineStr">
        <is>
          <t>Integration</t>
        </is>
      </c>
      <c r="G46" s="10" t="inlineStr">
        <is>
          <t>Trading mode badge shows 'Paper'. Market is open and a broker is connected.</t>
        </is>
      </c>
      <c r="H46" s="10" t="inlineStr">
        <is>
          <t>1. Set Order Type = Market and Lots = 1
2. Click 'B' on the ATM Call
3. Look at the Positions grid</t>
        </is>
      </c>
      <c r="I46" s="10" t="inlineStr">
        <is>
          <t>NIFTY ATM CE, 1 lot, Market</t>
        </is>
      </c>
      <c r="J46" s="10" t="inlineStr">
        <is>
          <t>A position row appears within a second showing the instrument, expiry tag, 'L 1 Lot', an entry price close to the quoted LTP, live LTP and P&amp;L. An order also appears in Order Book with status EXECUTED.</t>
        </is>
      </c>
      <c r="K46" s="10" t="inlineStr"/>
      <c r="L46" s="11" t="inlineStr">
        <is>
          <t>Not Run</t>
        </is>
      </c>
      <c r="M46" s="9" t="inlineStr"/>
      <c r="N46" s="9" t="inlineStr"/>
      <c r="O46" s="9" t="inlineStr"/>
      <c r="P46" s="10" t="inlineStr"/>
    </row>
    <row r="47">
      <c r="A47" s="12" t="inlineStr">
        <is>
          <t>TC-ORD-302</t>
        </is>
      </c>
      <c r="B47" s="13" t="inlineStr">
        <is>
          <t>Order Entry</t>
        </is>
      </c>
      <c r="C47" s="13" t="inlineStr">
        <is>
          <t>Market order</t>
        </is>
      </c>
      <c r="D47" s="14" t="inlineStr">
        <is>
          <t>Market SELL from the chain opens a short position</t>
        </is>
      </c>
      <c r="E47" s="13" t="inlineStr">
        <is>
          <t>P1 - Critical</t>
        </is>
      </c>
      <c r="F47" s="13" t="inlineStr">
        <is>
          <t>Integration</t>
        </is>
      </c>
      <c r="G47" s="14" t="inlineStr">
        <is>
          <t>Trading mode badge shows 'Paper'. Market is open and a broker is connected.</t>
        </is>
      </c>
      <c r="H47" s="14" t="inlineStr">
        <is>
          <t>1. Set Order Type = Market, Lots = 1
2. Click 'S' on an OTM Put
3. Check Positions</t>
        </is>
      </c>
      <c r="I47" s="14" t="inlineStr">
        <is>
          <t>NIFTY OTM PE, 1 lot, Market</t>
        </is>
      </c>
      <c r="J47" s="14" t="inlineStr">
        <is>
          <t>A position row appears marked 'S' (short) with entry near the quoted price and P&amp;L that moves opposite to the premium.</t>
        </is>
      </c>
      <c r="K47" s="14" t="inlineStr"/>
      <c r="L47" s="15" t="inlineStr">
        <is>
          <t>Not Run</t>
        </is>
      </c>
      <c r="M47" s="13" t="inlineStr"/>
      <c r="N47" s="13" t="inlineStr"/>
      <c r="O47" s="13" t="inlineStr"/>
      <c r="P47" s="14" t="inlineStr"/>
    </row>
    <row r="48">
      <c r="A48" s="8" t="inlineStr">
        <is>
          <t>TC-ORD-303</t>
        </is>
      </c>
      <c r="B48" s="9" t="inlineStr">
        <is>
          <t>Order Entry</t>
        </is>
      </c>
      <c r="C48" s="9" t="inlineStr">
        <is>
          <t>Limit order</t>
        </is>
      </c>
      <c r="D48" s="10" t="inlineStr">
        <is>
          <t>Selecting Limit shows a hint on where the price is entered</t>
        </is>
      </c>
      <c r="E48" s="9" t="inlineStr">
        <is>
          <t>P3 - Medium</t>
        </is>
      </c>
      <c r="F48" s="9" t="inlineStr">
        <is>
          <t>UI / UX</t>
        </is>
      </c>
      <c r="G48" s="10" t="inlineStr">
        <is>
          <t>A broker account is connected (status dot green) and index prices are ticking.</t>
        </is>
      </c>
      <c r="H48" s="10" t="inlineStr">
        <is>
          <t>1. Change Order Type to Limit
2. Read the message that appears
3. Wait 10 seconds</t>
        </is>
      </c>
      <c r="I48" s="10" t="inlineStr">
        <is>
          <t>-</t>
        </is>
      </c>
      <c r="J48" s="10" t="inlineStr">
        <is>
          <t>A hint explains that you click B/S on a strike and then type the limit price inline. The hint auto-dismisses after about 10 seconds.</t>
        </is>
      </c>
      <c r="K48" s="10" t="inlineStr"/>
      <c r="L48" s="11" t="inlineStr">
        <is>
          <t>Not Run</t>
        </is>
      </c>
      <c r="M48" s="9" t="inlineStr"/>
      <c r="N48" s="9" t="inlineStr"/>
      <c r="O48" s="9" t="inlineStr"/>
      <c r="P48" s="10" t="inlineStr"/>
    </row>
    <row r="49">
      <c r="A49" s="12" t="inlineStr">
        <is>
          <t>TC-ORD-304</t>
        </is>
      </c>
      <c r="B49" s="13" t="inlineStr">
        <is>
          <t>Order Entry</t>
        </is>
      </c>
      <c r="C49" s="13" t="inlineStr">
        <is>
          <t>Limit order</t>
        </is>
      </c>
      <c r="D49" s="14" t="inlineStr">
        <is>
          <t>Clicking B/S in Limit mode opens an inline editor prefilled with the LTP</t>
        </is>
      </c>
      <c r="E49" s="13" t="inlineStr">
        <is>
          <t>P1 - Critical</t>
        </is>
      </c>
      <c r="F49" s="13" t="inlineStr">
        <is>
          <t>UI / UX</t>
        </is>
      </c>
      <c r="G49" s="14" t="inlineStr">
        <is>
          <t>A broker account is connected (status dot green) and index prices are ticking.</t>
        </is>
      </c>
      <c r="H49" s="14" t="inlineStr">
        <is>
          <t>1. Set Order Type = Limit
2. Click 'B' on any strike
3. Look at the button that was clicked</t>
        </is>
      </c>
      <c r="I49" s="14" t="inlineStr">
        <is>
          <t>-</t>
        </is>
      </c>
      <c r="J49" s="14" t="inlineStr">
        <is>
          <t>The Buy button is replaced by a small input pre-filled with that strike's live LTP, focused and selected, with tick and cross buttons.</t>
        </is>
      </c>
      <c r="K49" s="14" t="inlineStr"/>
      <c r="L49" s="15" t="inlineStr">
        <is>
          <t>Not Run</t>
        </is>
      </c>
      <c r="M49" s="13" t="inlineStr"/>
      <c r="N49" s="13" t="inlineStr"/>
      <c r="O49" s="13" t="inlineStr"/>
      <c r="P49" s="14" t="inlineStr"/>
    </row>
    <row r="50">
      <c r="A50" s="8" t="inlineStr">
        <is>
          <t>TC-ORD-305</t>
        </is>
      </c>
      <c r="B50" s="9" t="inlineStr">
        <is>
          <t>Order Entry</t>
        </is>
      </c>
      <c r="C50" s="9" t="inlineStr">
        <is>
          <t>Limit order</t>
        </is>
      </c>
      <c r="D50" s="10" t="inlineStr">
        <is>
          <t>A limit BUY below the market rests as a pending order</t>
        </is>
      </c>
      <c r="E50" s="9" t="inlineStr">
        <is>
          <t>P1 - Critical</t>
        </is>
      </c>
      <c r="F50" s="9" t="inlineStr">
        <is>
          <t>Integration</t>
        </is>
      </c>
      <c r="G50" s="10" t="inlineStr">
        <is>
          <t>Trading mode badge shows 'Paper'. Market is open and a broker is connected.</t>
        </is>
      </c>
      <c r="H50" s="10" t="inlineStr">
        <is>
          <t>1. Order Type = Limit
2. Click 'B' on an OTM Call
3. Type a price clearly BELOW the shown LTP (on a 0.05 tick, e.g. 40.00)
4. Press Enter</t>
        </is>
      </c>
      <c r="I50" s="10" t="inlineStr">
        <is>
          <t>Limit price about 40-50% below LTP</t>
        </is>
      </c>
      <c r="J50" s="10" t="inlineStr">
        <is>
          <t>No position opens. A working-order row appears at the top of the Positions grid with a blue 'Pending Limit Buy @&lt;price&gt;' badge, and the header shows 'Working : 1'.</t>
        </is>
      </c>
      <c r="K50" s="10" t="inlineStr"/>
      <c r="L50" s="11" t="inlineStr">
        <is>
          <t>Not Run</t>
        </is>
      </c>
      <c r="M50" s="9" t="inlineStr"/>
      <c r="N50" s="9" t="inlineStr"/>
      <c r="O50" s="9" t="inlineStr"/>
      <c r="P50" s="10" t="inlineStr"/>
    </row>
    <row r="51">
      <c r="A51" s="12" t="inlineStr">
        <is>
          <t>TC-ORD-306</t>
        </is>
      </c>
      <c r="B51" s="13" t="inlineStr">
        <is>
          <t>Order Entry</t>
        </is>
      </c>
      <c r="C51" s="13" t="inlineStr">
        <is>
          <t>Validation</t>
        </is>
      </c>
      <c r="D51" s="14" t="inlineStr">
        <is>
          <t>An off-tick limit price is rejected inline</t>
        </is>
      </c>
      <c r="E51" s="13" t="inlineStr">
        <is>
          <t>P1 - Critical</t>
        </is>
      </c>
      <c r="F51" s="13" t="inlineStr">
        <is>
          <t>Negative</t>
        </is>
      </c>
      <c r="G51" s="14" t="inlineStr">
        <is>
          <t>A broker account is connected (status dot green) and index prices are ticking.</t>
        </is>
      </c>
      <c r="H51" s="14" t="inlineStr">
        <is>
          <t>1. Order Type = Limit
2. Click 'B' on a strike
3. Type 10.03
4. Press Enter</t>
        </is>
      </c>
      <c r="I51" s="14" t="inlineStr">
        <is>
          <t>10.03 (not a multiple of 0.05)</t>
        </is>
      </c>
      <c r="J51" s="14" t="inlineStr">
        <is>
          <t>The editor stays open and turns red; no order is created. Correcting to 10.05 is accepted.</t>
        </is>
      </c>
      <c r="K51" s="14" t="inlineStr"/>
      <c r="L51" s="15" t="inlineStr">
        <is>
          <t>Not Run</t>
        </is>
      </c>
      <c r="M51" s="13" t="inlineStr"/>
      <c r="N51" s="13" t="inlineStr"/>
      <c r="O51" s="13" t="inlineStr"/>
      <c r="P51" s="14" t="inlineStr"/>
    </row>
    <row r="52">
      <c r="A52" s="8" t="inlineStr">
        <is>
          <t>TC-ORD-307</t>
        </is>
      </c>
      <c r="B52" s="9" t="inlineStr">
        <is>
          <t>Order Entry</t>
        </is>
      </c>
      <c r="C52" s="9" t="inlineStr">
        <is>
          <t>Validation</t>
        </is>
      </c>
      <c r="D52" s="10" t="inlineStr">
        <is>
          <t>Zero / negative / blank limit price is rejected</t>
        </is>
      </c>
      <c r="E52" s="9" t="inlineStr">
        <is>
          <t>P1 - Critical</t>
        </is>
      </c>
      <c r="F52" s="9" t="inlineStr">
        <is>
          <t>Negative</t>
        </is>
      </c>
      <c r="G52" s="10" t="inlineStr">
        <is>
          <t>A broker account is connected (status dot green) and index prices are ticking.</t>
        </is>
      </c>
      <c r="H52" s="10" t="inlineStr">
        <is>
          <t>1. In the inline limit editor type 0 and press Enter
2. Repeat with -5
3. Repeat with an empty box</t>
        </is>
      </c>
      <c r="I52" s="10" t="inlineStr">
        <is>
          <t>0, -5, (blank)</t>
        </is>
      </c>
      <c r="J52" s="10" t="inlineStr">
        <is>
          <t>Every attempt is refused with the field showing an error state; no order reaches the order book.</t>
        </is>
      </c>
      <c r="K52" s="10" t="inlineStr"/>
      <c r="L52" s="11" t="inlineStr">
        <is>
          <t>Not Run</t>
        </is>
      </c>
      <c r="M52" s="9" t="inlineStr"/>
      <c r="N52" s="9" t="inlineStr"/>
      <c r="O52" s="9" t="inlineStr"/>
      <c r="P52" s="10" t="inlineStr"/>
    </row>
    <row r="53">
      <c r="A53" s="12" t="inlineStr">
        <is>
          <t>TC-ORD-308</t>
        </is>
      </c>
      <c r="B53" s="13" t="inlineStr">
        <is>
          <t>Order Entry</t>
        </is>
      </c>
      <c r="C53" s="13" t="inlineStr">
        <is>
          <t>Validation</t>
        </is>
      </c>
      <c r="D53" s="14" t="inlineStr">
        <is>
          <t>A wildly off-market limit price is rejected</t>
        </is>
      </c>
      <c r="E53" s="13" t="inlineStr">
        <is>
          <t>P2 - High</t>
        </is>
      </c>
      <c r="F53" s="13" t="inlineStr">
        <is>
          <t>Negative</t>
        </is>
      </c>
      <c r="G53" s="14" t="inlineStr">
        <is>
          <t>Trading mode badge shows 'Paper'. Market is open and a broker is connected.</t>
        </is>
      </c>
      <c r="H53" s="14" t="inlineStr">
        <is>
          <t>1. Note the LTP of a strike (e.g. 100)
2. Place a limit order at 10x that price</t>
        </is>
      </c>
      <c r="I53" s="14" t="inlineStr">
        <is>
          <t>LTP 100, limit 1000</t>
        </is>
      </c>
      <c r="J53" s="14" t="inlineStr">
        <is>
          <t>The order is refused with a message that the price is too far from the market. Nothing rests in the order book.</t>
        </is>
      </c>
      <c r="K53" s="14" t="inlineStr"/>
      <c r="L53" s="15" t="inlineStr">
        <is>
          <t>Not Run</t>
        </is>
      </c>
      <c r="M53" s="13" t="inlineStr"/>
      <c r="N53" s="13" t="inlineStr"/>
      <c r="O53" s="13" t="inlineStr"/>
      <c r="P53" s="14" t="inlineStr"/>
    </row>
    <row r="54">
      <c r="A54" s="8" t="inlineStr">
        <is>
          <t>TC-ORD-309</t>
        </is>
      </c>
      <c r="B54" s="9" t="inlineStr">
        <is>
          <t>Order Entry</t>
        </is>
      </c>
      <c r="C54" s="9" t="inlineStr">
        <is>
          <t>Validation</t>
        </is>
      </c>
      <c r="D54" s="10" t="inlineStr">
        <is>
          <t>Lots must be a whole number of at least 1</t>
        </is>
      </c>
      <c r="E54" s="9" t="inlineStr">
        <is>
          <t>P1 - Critical</t>
        </is>
      </c>
      <c r="F54" s="9" t="inlineStr">
        <is>
          <t>Negative</t>
        </is>
      </c>
      <c r="G54" s="10" t="inlineStr">
        <is>
          <t>A broker account is connected (status dot green) and index prices are ticking.</t>
        </is>
      </c>
      <c r="H54" s="10" t="inlineStr">
        <is>
          <t>1. Clear the Lots box / type 0
2. Try to click B on a strike</t>
        </is>
      </c>
      <c r="I54" s="10" t="inlineStr">
        <is>
          <t>0, blank, abc</t>
        </is>
      </c>
      <c r="J54" s="10" t="inlineStr">
        <is>
          <t>A red banner reads 'Enter a valid lot count (whole number, 1 or more) to place orders.' and no order is placed. The Lots box is marked invalid.</t>
        </is>
      </c>
      <c r="K54" s="10" t="inlineStr"/>
      <c r="L54" s="11" t="inlineStr">
        <is>
          <t>Not Run</t>
        </is>
      </c>
      <c r="M54" s="9" t="inlineStr"/>
      <c r="N54" s="9" t="inlineStr"/>
      <c r="O54" s="9" t="inlineStr"/>
      <c r="P54" s="10" t="inlineStr"/>
    </row>
    <row r="55">
      <c r="A55" s="12" t="inlineStr">
        <is>
          <t>TC-ORD-310</t>
        </is>
      </c>
      <c r="B55" s="13" t="inlineStr">
        <is>
          <t>Order Entry</t>
        </is>
      </c>
      <c r="C55" s="13" t="inlineStr">
        <is>
          <t>Lots stepper</t>
        </is>
      </c>
      <c r="D55" s="14" t="inlineStr">
        <is>
          <t>The +/- buttons change the lot count and never go below 1</t>
        </is>
      </c>
      <c r="E55" s="13" t="inlineStr">
        <is>
          <t>P2 - High</t>
        </is>
      </c>
      <c r="F55" s="13" t="inlineStr">
        <is>
          <t>UI / UX</t>
        </is>
      </c>
      <c r="G55" s="14" t="inlineStr">
        <is>
          <t>Charticks is installed and open; sidecar (engine) is running.</t>
        </is>
      </c>
      <c r="H55" s="14" t="inlineStr">
        <is>
          <t>1. Click '-' repeatedly on the Lots stepper
2. Click '+' three times</t>
        </is>
      </c>
      <c r="I55" s="14" t="inlineStr">
        <is>
          <t>-</t>
        </is>
      </c>
      <c r="J55" s="14" t="inlineStr">
        <is>
          <t>The value stops at 1 going down and increments correctly going up.</t>
        </is>
      </c>
      <c r="K55" s="14" t="inlineStr"/>
      <c r="L55" s="15" t="inlineStr">
        <is>
          <t>Not Run</t>
        </is>
      </c>
      <c r="M55" s="13" t="inlineStr"/>
      <c r="N55" s="13" t="inlineStr"/>
      <c r="O55" s="13" t="inlineStr"/>
      <c r="P55" s="14" t="inlineStr"/>
    </row>
    <row r="56">
      <c r="A56" s="8" t="inlineStr">
        <is>
          <t>TC-ORD-311</t>
        </is>
      </c>
      <c r="B56" s="9" t="inlineStr">
        <is>
          <t>Order Entry</t>
        </is>
      </c>
      <c r="C56" s="9" t="inlineStr">
        <is>
          <t>Duplicate guard</t>
        </is>
      </c>
      <c r="D56" s="10" t="inlineStr">
        <is>
          <t>A second working order on the same strike and side is refused</t>
        </is>
      </c>
      <c r="E56" s="9" t="inlineStr">
        <is>
          <t>P1 - Critical</t>
        </is>
      </c>
      <c r="F56" s="9" t="inlineStr">
        <is>
          <t>Negative</t>
        </is>
      </c>
      <c r="G56" s="10" t="inlineStr">
        <is>
          <t>Trading mode badge shows 'Paper'. Market is open and a broker is connected.</t>
        </is>
      </c>
      <c r="H56" s="10" t="inlineStr">
        <is>
          <t>1. Place a pending limit BUY on a strike
2. Click 'B' on the SAME strike again and submit another limit</t>
        </is>
      </c>
      <c r="I56" s="10" t="inlineStr">
        <is>
          <t>Same strike, same side</t>
        </is>
      </c>
      <c r="J56" s="10" t="inlineStr">
        <is>
          <t>A dialog reads 'Pending Order Already Exists ... modify the existing order?' with Cancel / Modify Order. The working-order count stays at 1.</t>
        </is>
      </c>
      <c r="K56" s="10" t="inlineStr"/>
      <c r="L56" s="11" t="inlineStr">
        <is>
          <t>Not Run</t>
        </is>
      </c>
      <c r="M56" s="9" t="inlineStr"/>
      <c r="N56" s="9" t="inlineStr"/>
      <c r="O56" s="9" t="inlineStr"/>
      <c r="P56" s="10" t="inlineStr"/>
    </row>
    <row r="57">
      <c r="A57" s="12" t="inlineStr">
        <is>
          <t>TC-ORD-312</t>
        </is>
      </c>
      <c r="B57" s="13" t="inlineStr">
        <is>
          <t>Order Entry</t>
        </is>
      </c>
      <c r="C57" s="13" t="inlineStr">
        <is>
          <t>Duplicate guard</t>
        </is>
      </c>
      <c r="D57" s="14" t="inlineStr">
        <is>
          <t>'Modify Order' jumps to the existing order in edit mode</t>
        </is>
      </c>
      <c r="E57" s="13" t="inlineStr">
        <is>
          <t>P2 - High</t>
        </is>
      </c>
      <c r="F57" s="13" t="inlineStr">
        <is>
          <t>Functional</t>
        </is>
      </c>
      <c r="G57" s="14" t="inlineStr">
        <is>
          <t>The duplicate dialog from TC-ORD-311 is on screen.</t>
        </is>
      </c>
      <c r="H57" s="14" t="inlineStr">
        <is>
          <t>1. Click 'Modify Order'</t>
        </is>
      </c>
      <c r="I57" s="14" t="inlineStr">
        <is>
          <t>-</t>
        </is>
      </c>
      <c r="J57" s="14" t="inlineStr">
        <is>
          <t>The app switches to the Positions screen, scrolls to that working order and opens it in edit mode with the current price and lots pre-filled. No new order is created.</t>
        </is>
      </c>
      <c r="K57" s="14" t="inlineStr"/>
      <c r="L57" s="15" t="inlineStr">
        <is>
          <t>Not Run</t>
        </is>
      </c>
      <c r="M57" s="13" t="inlineStr"/>
      <c r="N57" s="13" t="inlineStr"/>
      <c r="O57" s="13" t="inlineStr"/>
      <c r="P57" s="14" t="inlineStr"/>
    </row>
    <row r="58">
      <c r="A58" s="8" t="inlineStr">
        <is>
          <t>TC-ORD-313</t>
        </is>
      </c>
      <c r="B58" s="9" t="inlineStr">
        <is>
          <t>Order Entry</t>
        </is>
      </c>
      <c r="C58" s="9" t="inlineStr">
        <is>
          <t>Duplicate guard</t>
        </is>
      </c>
      <c r="D58" s="10" t="inlineStr">
        <is>
          <t>The opposite side on the same strike is still allowed</t>
        </is>
      </c>
      <c r="E58" s="9" t="inlineStr">
        <is>
          <t>P2 - High</t>
        </is>
      </c>
      <c r="F58" s="9" t="inlineStr">
        <is>
          <t>Functional</t>
        </is>
      </c>
      <c r="G58" s="10" t="inlineStr">
        <is>
          <t>Trading mode badge shows 'Paper'. Market is open and a broker is connected.</t>
        </is>
      </c>
      <c r="H58" s="10" t="inlineStr">
        <is>
          <t>1. Place a pending limit BUY on a strike
2. Place a limit SELL on the same strike</t>
        </is>
      </c>
      <c r="I58" s="10" t="inlineStr">
        <is>
          <t>Same strike, opposite sides</t>
        </is>
      </c>
      <c r="J58" s="10" t="inlineStr">
        <is>
          <t>The SELL is accepted - the duplicate rule applies per side, not per strike.</t>
        </is>
      </c>
      <c r="K58" s="10" t="inlineStr"/>
      <c r="L58" s="11" t="inlineStr">
        <is>
          <t>Not Run</t>
        </is>
      </c>
      <c r="M58" s="9" t="inlineStr"/>
      <c r="N58" s="9" t="inlineStr"/>
      <c r="O58" s="9" t="inlineStr"/>
      <c r="P58" s="10" t="inlineStr"/>
    </row>
    <row r="59">
      <c r="A59" s="12" t="inlineStr">
        <is>
          <t>TC-ORD-314</t>
        </is>
      </c>
      <c r="B59" s="13" t="inlineStr">
        <is>
          <t>Order Entry</t>
        </is>
      </c>
      <c r="C59" s="13" t="inlineStr">
        <is>
          <t>Double-click guard</t>
        </is>
      </c>
      <c r="D59" s="14" t="inlineStr">
        <is>
          <t>Double-clicking B does not place two orders</t>
        </is>
      </c>
      <c r="E59" s="13" t="inlineStr">
        <is>
          <t>P1 - Critical</t>
        </is>
      </c>
      <c r="F59" s="13" t="inlineStr">
        <is>
          <t>Negative</t>
        </is>
      </c>
      <c r="G59" s="14" t="inlineStr">
        <is>
          <t>Trading mode badge shows 'Paper'. Market is open and a broker is connected.</t>
        </is>
      </c>
      <c r="H59" s="14" t="inlineStr">
        <is>
          <t>1. Set Order Type = Market
2. Double-click 'B' on a strike as fast as you can
3. Check Order Book</t>
        </is>
      </c>
      <c r="I59" s="14" t="inlineStr">
        <is>
          <t>-</t>
        </is>
      </c>
      <c r="J59" s="14" t="inlineStr">
        <is>
          <t>Exactly ONE order is created.</t>
        </is>
      </c>
      <c r="K59" s="14" t="inlineStr"/>
      <c r="L59" s="15" t="inlineStr">
        <is>
          <t>Not Run</t>
        </is>
      </c>
      <c r="M59" s="13" t="inlineStr"/>
      <c r="N59" s="13" t="inlineStr"/>
      <c r="O59" s="13" t="inlineStr"/>
      <c r="P59" s="14" t="inlineStr"/>
    </row>
    <row r="60">
      <c r="A60" s="8" t="inlineStr">
        <is>
          <t>TC-ORD-315</t>
        </is>
      </c>
      <c r="B60" s="9" t="inlineStr">
        <is>
          <t>Order Entry</t>
        </is>
      </c>
      <c r="C60" s="9" t="inlineStr">
        <is>
          <t>Editor timeout</t>
        </is>
      </c>
      <c r="D60" s="10" t="inlineStr">
        <is>
          <t>An abandoned limit editor closes itself after ~10s</t>
        </is>
      </c>
      <c r="E60" s="9" t="inlineStr">
        <is>
          <t>P3 - Medium</t>
        </is>
      </c>
      <c r="F60" s="9" t="inlineStr">
        <is>
          <t>UI / UX</t>
        </is>
      </c>
      <c r="G60" s="10" t="inlineStr">
        <is>
          <t>A broker account is connected (status dot green) and index prices are ticking.</t>
        </is>
      </c>
      <c r="H60" s="10" t="inlineStr">
        <is>
          <t>1. Order Type = Limit
2. Click 'B' on a strike
3. Do not type anything for 15 seconds</t>
        </is>
      </c>
      <c r="I60" s="10" t="inlineStr">
        <is>
          <t>-</t>
        </is>
      </c>
      <c r="J60" s="10" t="inlineStr">
        <is>
          <t>The editor disappears on its own and the Buy button returns. No order is placed.</t>
        </is>
      </c>
      <c r="K60" s="10" t="inlineStr"/>
      <c r="L60" s="11" t="inlineStr">
        <is>
          <t>Not Run</t>
        </is>
      </c>
      <c r="M60" s="9" t="inlineStr"/>
      <c r="N60" s="9" t="inlineStr"/>
      <c r="O60" s="9" t="inlineStr"/>
      <c r="P60" s="10" t="inlineStr"/>
    </row>
    <row r="61">
      <c r="A61" s="12" t="inlineStr">
        <is>
          <t>TC-ORD-316</t>
        </is>
      </c>
      <c r="B61" s="13" t="inlineStr">
        <is>
          <t>Order Entry</t>
        </is>
      </c>
      <c r="C61" s="13" t="inlineStr">
        <is>
          <t>Editor scope</t>
        </is>
      </c>
      <c r="D61" s="14" t="inlineStr">
        <is>
          <t>Only one inline limit editor is open at a time</t>
        </is>
      </c>
      <c r="E61" s="13" t="inlineStr">
        <is>
          <t>P3 - Medium</t>
        </is>
      </c>
      <c r="F61" s="13" t="inlineStr">
        <is>
          <t>UI / UX</t>
        </is>
      </c>
      <c r="G61" s="14" t="inlineStr">
        <is>
          <t>A broker account is connected (status dot green) and index prices are ticking.</t>
        </is>
      </c>
      <c r="H61" s="14" t="inlineStr">
        <is>
          <t>1. Order Type = Limit
2. Click 'B' on one strike
3. Click 'S' on a different strike</t>
        </is>
      </c>
      <c r="I61" s="14" t="inlineStr">
        <is>
          <t>-</t>
        </is>
      </c>
      <c r="J61" s="14" t="inlineStr">
        <is>
          <t>The first editor closes when the second opens.</t>
        </is>
      </c>
      <c r="K61" s="14" t="inlineStr"/>
      <c r="L61" s="15" t="inlineStr">
        <is>
          <t>Not Run</t>
        </is>
      </c>
      <c r="M61" s="13" t="inlineStr"/>
      <c r="N61" s="13" t="inlineStr"/>
      <c r="O61" s="13" t="inlineStr"/>
      <c r="P61" s="14" t="inlineStr"/>
    </row>
    <row r="62">
      <c r="A62" s="8" t="inlineStr">
        <is>
          <t>TC-ORD-317</t>
        </is>
      </c>
      <c r="B62" s="9" t="inlineStr">
        <is>
          <t>Order Entry</t>
        </is>
      </c>
      <c r="C62" s="9" t="inlineStr">
        <is>
          <t>Expiry guard</t>
        </is>
      </c>
      <c r="D62" s="10" t="inlineStr">
        <is>
          <t>An expired contract can never be traded</t>
        </is>
      </c>
      <c r="E62" s="9" t="inlineStr">
        <is>
          <t>P1 - Critical</t>
        </is>
      </c>
      <c r="F62" s="9" t="inlineStr">
        <is>
          <t>Negative</t>
        </is>
      </c>
      <c r="G62" s="10" t="inlineStr">
        <is>
          <t>A broker account is connected (status dot green) and index prices are ticking.</t>
        </is>
      </c>
      <c r="H62" s="10" t="inlineStr">
        <is>
          <t>1. Note that expired expiries are not offered in the dropdown
2. If a contract expires while the app is open, watch the selection</t>
        </is>
      </c>
      <c r="I62" s="10" t="inlineStr">
        <is>
          <t>-</t>
        </is>
      </c>
      <c r="J62" s="10" t="inlineStr">
        <is>
          <t>The expiry selection moves to the next active contract automatically, and any attempt to trade an expired contract is refused with an 'expired' message.</t>
        </is>
      </c>
      <c r="K62" s="10" t="inlineStr"/>
      <c r="L62" s="11" t="inlineStr">
        <is>
          <t>Not Run</t>
        </is>
      </c>
      <c r="M62" s="9" t="inlineStr"/>
      <c r="N62" s="9" t="inlineStr"/>
      <c r="O62" s="9" t="inlineStr"/>
      <c r="P62" s="10" t="inlineStr"/>
    </row>
    <row r="63">
      <c r="A63" s="12" t="inlineStr">
        <is>
          <t>TC-GATE-301</t>
        </is>
      </c>
      <c r="B63" s="13" t="inlineStr">
        <is>
          <t>Market Hours</t>
        </is>
      </c>
      <c r="C63" s="13" t="inlineStr">
        <is>
          <t>Order gate</t>
        </is>
      </c>
      <c r="D63" s="14" t="inlineStr">
        <is>
          <t>Placing an order outside market hours is blocked with a dialog</t>
        </is>
      </c>
      <c r="E63" s="13" t="inlineStr">
        <is>
          <t>P1 - Critical</t>
        </is>
      </c>
      <c r="F63" s="13" t="inlineStr">
        <is>
          <t>Negative</t>
        </is>
      </c>
      <c r="G63" s="14" t="inlineStr">
        <is>
          <t>Current time is OUTSIDE 09:15-15:30 IST on a weekday, or it is the weekend.</t>
        </is>
      </c>
      <c r="H63" s="14" t="inlineStr">
        <is>
          <t>1. Go to Home
2. Click 'B' on any strike</t>
        </is>
      </c>
      <c r="I63" s="14" t="inlineStr">
        <is>
          <t>-</t>
        </is>
      </c>
      <c r="J63" s="14" t="inlineStr">
        <is>
          <t>A 'Market Closed' dialog appears explaining trading is unavailable outside market hours. No order is created.</t>
        </is>
      </c>
      <c r="K63" s="14" t="inlineStr"/>
      <c r="L63" s="15" t="inlineStr">
        <is>
          <t>Not Run</t>
        </is>
      </c>
      <c r="M63" s="13" t="inlineStr"/>
      <c r="N63" s="13" t="inlineStr"/>
      <c r="O63" s="13" t="inlineStr"/>
      <c r="P63" s="14" t="inlineStr"/>
    </row>
    <row r="64">
      <c r="A64" s="8" t="inlineStr">
        <is>
          <t>TC-GATE-302</t>
        </is>
      </c>
      <c r="B64" s="9" t="inlineStr">
        <is>
          <t>Market Hours</t>
        </is>
      </c>
      <c r="C64" s="9" t="inlineStr">
        <is>
          <t>Order gate</t>
        </is>
      </c>
      <c r="D64" s="10" t="inlineStr">
        <is>
          <t>Orders are accepted once the market opens</t>
        </is>
      </c>
      <c r="E64" s="9" t="inlineStr">
        <is>
          <t>P1 - Critical</t>
        </is>
      </c>
      <c r="F64" s="9" t="inlineStr">
        <is>
          <t>Functional</t>
        </is>
      </c>
      <c r="G64" s="10" t="inlineStr">
        <is>
          <t>Market is OPEN (09:15-15:30 IST, Mon-Fri) and a broker is connected.</t>
        </is>
      </c>
      <c r="H64" s="10" t="inlineStr">
        <is>
          <t>1. During 09:15-15:30 IST on a weekday, place a Market order</t>
        </is>
      </c>
      <c r="I64" s="10" t="inlineStr">
        <is>
          <t>-</t>
        </is>
      </c>
      <c r="J64" s="10" t="inlineStr">
        <is>
          <t>The order is accepted and executed; no 'Market Closed' dialog appears.</t>
        </is>
      </c>
      <c r="K64" s="10" t="inlineStr"/>
      <c r="L64" s="11" t="inlineStr">
        <is>
          <t>Not Run</t>
        </is>
      </c>
      <c r="M64" s="9" t="inlineStr"/>
      <c r="N64" s="9" t="inlineStr"/>
      <c r="O64" s="9" t="inlineStr"/>
      <c r="P64" s="10" t="inlineStr"/>
    </row>
    <row r="65">
      <c r="A65" s="12" t="inlineStr">
        <is>
          <t>TC-GATE-303</t>
        </is>
      </c>
      <c r="B65" s="13" t="inlineStr">
        <is>
          <t>Market Hours</t>
        </is>
      </c>
      <c r="C65" s="13" t="inlineStr">
        <is>
          <t>Position ops</t>
        </is>
      </c>
      <c r="D65" s="14" t="inlineStr">
        <is>
          <t>Closing / partial exit is blocked outside market hours</t>
        </is>
      </c>
      <c r="E65" s="13" t="inlineStr">
        <is>
          <t>P1 - Critical</t>
        </is>
      </c>
      <c r="F65" s="13" t="inlineStr">
        <is>
          <t>Negative</t>
        </is>
      </c>
      <c r="G65" s="14" t="inlineStr">
        <is>
          <t>An open position exists and the market is closed.</t>
        </is>
      </c>
      <c r="H65" s="14" t="inlineStr">
        <is>
          <t>1. Click a partial-exit % button on an open position</t>
        </is>
      </c>
      <c r="I65" s="14" t="inlineStr">
        <is>
          <t>-</t>
        </is>
      </c>
      <c r="J65" s="14" t="inlineStr">
        <is>
          <t>The 'Market Closed' dialog appears; the position is unchanged.</t>
        </is>
      </c>
      <c r="K65" s="14" t="inlineStr"/>
      <c r="L65" s="15" t="inlineStr">
        <is>
          <t>Not Run</t>
        </is>
      </c>
      <c r="M65" s="13" t="inlineStr"/>
      <c r="N65" s="13" t="inlineStr"/>
      <c r="O65" s="13" t="inlineStr"/>
      <c r="P65" s="14" t="inlineStr"/>
    </row>
    <row r="66">
      <c r="A66" s="8" t="inlineStr">
        <is>
          <t>TC-GATE-304</t>
        </is>
      </c>
      <c r="B66" s="9" t="inlineStr">
        <is>
          <t>Market Hours</t>
        </is>
      </c>
      <c r="C66" s="9" t="inlineStr">
        <is>
          <t>Position ops</t>
        </is>
      </c>
      <c r="D66" s="10" t="inlineStr">
        <is>
          <t>Modify / cancel of a working order is blocked outside hours</t>
        </is>
      </c>
      <c r="E66" s="9" t="inlineStr">
        <is>
          <t>P2 - High</t>
        </is>
      </c>
      <c r="F66" s="9" t="inlineStr">
        <is>
          <t>Negative</t>
        </is>
      </c>
      <c r="G66" s="10" t="inlineStr">
        <is>
          <t>A working order exists and the market is closed.</t>
        </is>
      </c>
      <c r="H66" s="10" t="inlineStr">
        <is>
          <t>1. Click the pencil on a working order and submit a change
2. Then click Cancel on it</t>
        </is>
      </c>
      <c r="I66" s="10" t="inlineStr">
        <is>
          <t>-</t>
        </is>
      </c>
      <c r="J66" s="10" t="inlineStr">
        <is>
          <t>Both actions raise the 'Market Closed' dialog and leave the order untouched.</t>
        </is>
      </c>
      <c r="K66" s="10" t="inlineStr"/>
      <c r="L66" s="11" t="inlineStr">
        <is>
          <t>Not Run</t>
        </is>
      </c>
      <c r="M66" s="9" t="inlineStr"/>
      <c r="N66" s="9" t="inlineStr"/>
      <c r="O66" s="9" t="inlineStr"/>
      <c r="P66" s="10" t="inlineStr"/>
    </row>
    <row r="67">
      <c r="A67" s="12" t="inlineStr">
        <is>
          <t>TC-GATE-305</t>
        </is>
      </c>
      <c r="B67" s="13" t="inlineStr">
        <is>
          <t>Market Hours</t>
        </is>
      </c>
      <c r="C67" s="13" t="inlineStr">
        <is>
          <t>Risk edits</t>
        </is>
      </c>
      <c r="D67" s="14" t="inlineStr">
        <is>
          <t>Editing SL / Target is allowed even when the market is closed</t>
        </is>
      </c>
      <c r="E67" s="13" t="inlineStr">
        <is>
          <t>P2 - High</t>
        </is>
      </c>
      <c r="F67" s="13" t="inlineStr">
        <is>
          <t>Functional</t>
        </is>
      </c>
      <c r="G67" s="14" t="inlineStr">
        <is>
          <t>An open position exists and the market is closed.</t>
        </is>
      </c>
      <c r="H67" s="14" t="inlineStr">
        <is>
          <t>1. Click the pencil next to SL on an open position
2. Enter a new value
3. Press Enter</t>
        </is>
      </c>
      <c r="I67" s="14" t="inlineStr">
        <is>
          <t>New SL value</t>
        </is>
      </c>
      <c r="J67" s="14" t="inlineStr">
        <is>
          <t>The SL updates without a 'Market Closed' dialog - editing risk settings sends nothing to the broker.</t>
        </is>
      </c>
      <c r="K67" s="14" t="inlineStr"/>
      <c r="L67" s="15" t="inlineStr">
        <is>
          <t>Not Run</t>
        </is>
      </c>
      <c r="M67" s="13" t="inlineStr"/>
      <c r="N67" s="13" t="inlineStr"/>
      <c r="O67" s="13" t="inlineStr"/>
      <c r="P67" s="14" t="inlineStr"/>
    </row>
    <row r="68">
      <c r="A68" s="8" t="inlineStr">
        <is>
          <t>TC-GATE-306</t>
        </is>
      </c>
      <c r="B68" s="9" t="inlineStr">
        <is>
          <t>Market Hours</t>
        </is>
      </c>
      <c r="C68" s="9" t="inlineStr">
        <is>
          <t>Weekend</t>
        </is>
      </c>
      <c r="D68" s="10" t="inlineStr">
        <is>
          <t>Trading is blocked all day at the weekend</t>
        </is>
      </c>
      <c r="E68" s="9" t="inlineStr">
        <is>
          <t>P2 - High</t>
        </is>
      </c>
      <c r="F68" s="9" t="inlineStr">
        <is>
          <t>Negative</t>
        </is>
      </c>
      <c r="G68" s="10" t="inlineStr">
        <is>
          <t>It is Saturday or Sunday.</t>
        </is>
      </c>
      <c r="H68" s="10" t="inlineStr">
        <is>
          <t>1. Try to place any order</t>
        </is>
      </c>
      <c r="I68" s="10" t="inlineStr">
        <is>
          <t>-</t>
        </is>
      </c>
      <c r="J68" s="10" t="inlineStr">
        <is>
          <t>The 'Market Closed' dialog appears regardless of the time of day.</t>
        </is>
      </c>
      <c r="K68" s="10" t="inlineStr"/>
      <c r="L68" s="11" t="inlineStr">
        <is>
          <t>Not Run</t>
        </is>
      </c>
      <c r="M68" s="9" t="inlineStr"/>
      <c r="N68" s="9" t="inlineStr"/>
      <c r="O68" s="9" t="inlineStr"/>
      <c r="P68" s="10" t="inlineStr"/>
    </row>
    <row r="69">
      <c r="A69" s="12" t="inlineStr">
        <is>
          <t>TC-GATE-307</t>
        </is>
      </c>
      <c r="B69" s="13" t="inlineStr">
        <is>
          <t>Market Hours</t>
        </is>
      </c>
      <c r="C69" s="13" t="inlineStr">
        <is>
          <t>MCX</t>
        </is>
      </c>
      <c r="D69" s="14" t="inlineStr">
        <is>
          <t>CRUDEOIL remains tradable after the equity close (up to 23:30 IST)</t>
        </is>
      </c>
      <c r="E69" s="13" t="inlineStr">
        <is>
          <t>P2 - High</t>
        </is>
      </c>
      <c r="F69" s="13" t="inlineStr">
        <is>
          <t>Functional</t>
        </is>
      </c>
      <c r="G69" s="14" t="inlineStr">
        <is>
          <t>Time is between 15:30 and 23:30 IST on a weekday, with CRUDEOIL available on the feed.</t>
        </is>
      </c>
      <c r="H69" s="14" t="inlineStr">
        <is>
          <t>1. Select CRUDEOIL in the Option Chain
2. Place a paper order</t>
        </is>
      </c>
      <c r="I69" s="14" t="inlineStr">
        <is>
          <t>CRUDEOIL</t>
        </is>
      </c>
      <c r="J69" s="14" t="inlineStr">
        <is>
          <t>The order is accepted - MCX runs 09:00-23:30 - while a NIFTY order at the same moment is refused.</t>
        </is>
      </c>
      <c r="K69" s="14" t="inlineStr"/>
      <c r="L69" s="15" t="inlineStr">
        <is>
          <t>Not Run</t>
        </is>
      </c>
      <c r="M69" s="13" t="inlineStr"/>
      <c r="N69" s="13" t="inlineStr"/>
      <c r="O69" s="13" t="inlineStr"/>
      <c r="P69" s="14" t="inlineStr"/>
    </row>
    <row r="70">
      <c r="A70" s="8" t="inlineStr">
        <is>
          <t>TC-GATE-308</t>
        </is>
      </c>
      <c r="B70" s="9" t="inlineStr">
        <is>
          <t>Market Hours</t>
        </is>
      </c>
      <c r="C70" s="9" t="inlineStr">
        <is>
          <t>Boundaries</t>
        </is>
      </c>
      <c r="D70" s="10" t="inlineStr">
        <is>
          <t>09:15 and 15:30 are inside the session; 09:14 and 15:31 are not</t>
        </is>
      </c>
      <c r="E70" s="9" t="inlineStr">
        <is>
          <t>P2 - High</t>
        </is>
      </c>
      <c r="F70" s="9" t="inlineStr">
        <is>
          <t>Data / Calculation</t>
        </is>
      </c>
      <c r="G70" s="10" t="inlineStr">
        <is>
          <t>Ability to test around the open/close, or to check on consecutive days.</t>
        </is>
      </c>
      <c r="H70" s="10" t="inlineStr">
        <is>
          <t>1. Attempt an order at 09:14:50
2. Attempt again just after 09:15:00
3. Repeat around 15:30:00 and 15:31:00</t>
        </is>
      </c>
      <c r="I70" s="10" t="inlineStr">
        <is>
          <t>-</t>
        </is>
      </c>
      <c r="J70" s="10" t="inlineStr">
        <is>
          <t>Orders are refused before 09:15 and after 15:30, and accepted exactly at the boundaries.</t>
        </is>
      </c>
      <c r="K70" s="10" t="inlineStr"/>
      <c r="L70" s="11" t="inlineStr">
        <is>
          <t>Not Run</t>
        </is>
      </c>
      <c r="M70" s="9" t="inlineStr"/>
      <c r="N70" s="9" t="inlineStr"/>
      <c r="O70" s="9" t="inlineStr"/>
      <c r="P70" s="10" t="inlineStr"/>
    </row>
    <row r="71">
      <c r="A71" s="12" t="inlineStr">
        <is>
          <t>TC-POS-301</t>
        </is>
      </c>
      <c r="B71" s="13" t="inlineStr">
        <is>
          <t>Positions</t>
        </is>
      </c>
      <c r="C71" s="13" t="inlineStr">
        <is>
          <t>Grid</t>
        </is>
      </c>
      <c r="D71" s="14" t="inlineStr">
        <is>
          <t>Position row shows instrument, expiry, side, lots, entry, LTP and P&amp;L</t>
        </is>
      </c>
      <c r="E71" s="13" t="inlineStr">
        <is>
          <t>P1 - Critical</t>
        </is>
      </c>
      <c r="F71" s="13" t="inlineStr">
        <is>
          <t>UI / UX</t>
        </is>
      </c>
      <c r="G71" s="14" t="inlineStr">
        <is>
          <t>At least one open position.</t>
        </is>
      </c>
      <c r="H71" s="14" t="inlineStr">
        <is>
          <t>1. Go to Home or Positions
2. Read one position row end to end</t>
        </is>
      </c>
      <c r="I71" s="14" t="inlineStr">
        <is>
          <t>-</t>
        </is>
      </c>
      <c r="J71" s="14" t="inlineStr">
        <is>
          <t>Row shows underlying + strike + option type, a compact expiry tag (e.g. '11 Aug'), L/S marker, lot count, entry price, live LTP and P&amp;L coloured green/red.</t>
        </is>
      </c>
      <c r="K71" s="14" t="inlineStr"/>
      <c r="L71" s="15" t="inlineStr">
        <is>
          <t>Not Run</t>
        </is>
      </c>
      <c r="M71" s="13" t="inlineStr"/>
      <c r="N71" s="13" t="inlineStr"/>
      <c r="O71" s="13" t="inlineStr"/>
      <c r="P71" s="14" t="inlineStr"/>
    </row>
    <row r="72">
      <c r="A72" s="8" t="inlineStr">
        <is>
          <t>TC-POS-302</t>
        </is>
      </c>
      <c r="B72" s="9" t="inlineStr">
        <is>
          <t>Positions</t>
        </is>
      </c>
      <c r="C72" s="9" t="inlineStr">
        <is>
          <t>MTM</t>
        </is>
      </c>
      <c r="D72" s="10" t="inlineStr">
        <is>
          <t>Open positions mark to market on the live feed</t>
        </is>
      </c>
      <c r="E72" s="9" t="inlineStr">
        <is>
          <t>P1 - Critical</t>
        </is>
      </c>
      <c r="F72" s="9" t="inlineStr">
        <is>
          <t>Integration</t>
        </is>
      </c>
      <c r="G72" s="10" t="inlineStr">
        <is>
          <t>Trading mode badge shows 'Paper'. Market is open and a broker is connected.</t>
        </is>
      </c>
      <c r="H72" s="10" t="inlineStr">
        <is>
          <t>1. Open a position
2. Watch the LTP and P&amp;L cells for 30 seconds</t>
        </is>
      </c>
      <c r="I72" s="10" t="inlineStr">
        <is>
          <t>-</t>
        </is>
      </c>
      <c r="J72" s="10" t="inlineStr">
        <is>
          <t>LTP updates with the market and P&amp;L recalculates; the numbers flash when they change.</t>
        </is>
      </c>
      <c r="K72" s="10" t="inlineStr"/>
      <c r="L72" s="11" t="inlineStr">
        <is>
          <t>Not Run</t>
        </is>
      </c>
      <c r="M72" s="9" t="inlineStr"/>
      <c r="N72" s="9" t="inlineStr"/>
      <c r="O72" s="9" t="inlineStr"/>
      <c r="P72" s="10" t="inlineStr"/>
    </row>
    <row r="73">
      <c r="A73" s="12" t="inlineStr">
        <is>
          <t>TC-POS-303</t>
        </is>
      </c>
      <c r="B73" s="13" t="inlineStr">
        <is>
          <t>Positions</t>
        </is>
      </c>
      <c r="C73" s="13" t="inlineStr">
        <is>
          <t>Header</t>
        </is>
      </c>
      <c r="D73" s="14" t="inlineStr">
        <is>
          <t>Net P&amp;L equals the sum of the individual position rows</t>
        </is>
      </c>
      <c r="E73" s="13" t="inlineStr">
        <is>
          <t>P1 - Critical</t>
        </is>
      </c>
      <c r="F73" s="13" t="inlineStr">
        <is>
          <t>Data / Calculation</t>
        </is>
      </c>
      <c r="G73" s="14" t="inlineStr">
        <is>
          <t>Two or more open positions.</t>
        </is>
      </c>
      <c r="H73" s="14" t="inlineStr">
        <is>
          <t>1. Note each row's P&amp;L
2. Add them up
3. Compare with 'Net P&amp;L' in the panel header</t>
        </is>
      </c>
      <c r="I73" s="14" t="inlineStr">
        <is>
          <t>-</t>
        </is>
      </c>
      <c r="J73" s="14" t="inlineStr">
        <is>
          <t>The header total equals the sum of the rows (to the rupee).</t>
        </is>
      </c>
      <c r="K73" s="14" t="inlineStr"/>
      <c r="L73" s="15" t="inlineStr">
        <is>
          <t>Not Run</t>
        </is>
      </c>
      <c r="M73" s="13" t="inlineStr"/>
      <c r="N73" s="13" t="inlineStr"/>
      <c r="O73" s="13" t="inlineStr"/>
      <c r="P73" s="14" t="inlineStr"/>
    </row>
    <row r="74">
      <c r="A74" s="8" t="inlineStr">
        <is>
          <t>TC-POS-304</t>
        </is>
      </c>
      <c r="B74" s="9" t="inlineStr">
        <is>
          <t>Positions</t>
        </is>
      </c>
      <c r="C74" s="9" t="inlineStr">
        <is>
          <t>Counters</t>
        </is>
      </c>
      <c r="D74" s="10" t="inlineStr">
        <is>
          <t>Open and Working counters are accurate</t>
        </is>
      </c>
      <c r="E74" s="9" t="inlineStr">
        <is>
          <t>P2 - High</t>
        </is>
      </c>
      <c r="F74" s="9" t="inlineStr">
        <is>
          <t>UI / UX</t>
        </is>
      </c>
      <c r="G74" s="10" t="inlineStr">
        <is>
          <t>One open position and one pending limit order exist.</t>
        </is>
      </c>
      <c r="H74" s="10" t="inlineStr">
        <is>
          <t>1. Read 'Open :' and 'Working :' in the Positions header</t>
        </is>
      </c>
      <c r="I74" s="10" t="inlineStr">
        <is>
          <t>-</t>
        </is>
      </c>
      <c r="J74" s="10" t="inlineStr">
        <is>
          <t>Open shows the number of live positions; Working shows the number of pending/partial orders and disappears when there are none.</t>
        </is>
      </c>
      <c r="K74" s="10" t="inlineStr"/>
      <c r="L74" s="11" t="inlineStr">
        <is>
          <t>Not Run</t>
        </is>
      </c>
      <c r="M74" s="9" t="inlineStr"/>
      <c r="N74" s="9" t="inlineStr"/>
      <c r="O74" s="9" t="inlineStr"/>
      <c r="P74" s="10" t="inlineStr"/>
    </row>
    <row r="75">
      <c r="A75" s="12" t="inlineStr">
        <is>
          <t>TC-POS-305</t>
        </is>
      </c>
      <c r="B75" s="13" t="inlineStr">
        <is>
          <t>Positions</t>
        </is>
      </c>
      <c r="C75" s="13" t="inlineStr">
        <is>
          <t>SL / Target edit</t>
        </is>
      </c>
      <c r="D75" s="14" t="inlineStr">
        <is>
          <t>SL can be edited inline on an open position</t>
        </is>
      </c>
      <c r="E75" s="13" t="inlineStr">
        <is>
          <t>P1 - Critical</t>
        </is>
      </c>
      <c r="F75" s="13" t="inlineStr">
        <is>
          <t>Functional</t>
        </is>
      </c>
      <c r="G75" s="14" t="inlineStr">
        <is>
          <t>An open position with an SL.</t>
        </is>
      </c>
      <c r="H75" s="14" t="inlineStr">
        <is>
          <t>1. Hover the SL chip and click the pencil
2. Type a new value
3. Press Enter</t>
        </is>
      </c>
      <c r="I75" s="14" t="inlineStr">
        <is>
          <t>New SL value</t>
        </is>
      </c>
      <c r="J75" s="14" t="inlineStr">
        <is>
          <t>The SL updates on the row immediately. Pressing Escape instead of Enter leaves the original value unchanged.</t>
        </is>
      </c>
      <c r="K75" s="14" t="inlineStr"/>
      <c r="L75" s="15" t="inlineStr">
        <is>
          <t>Not Run</t>
        </is>
      </c>
      <c r="M75" s="13" t="inlineStr"/>
      <c r="N75" s="13" t="inlineStr"/>
      <c r="O75" s="13" t="inlineStr"/>
      <c r="P75" s="14" t="inlineStr"/>
    </row>
    <row r="76">
      <c r="A76" s="8" t="inlineStr">
        <is>
          <t>TC-POS-306</t>
        </is>
      </c>
      <c r="B76" s="9" t="inlineStr">
        <is>
          <t>Positions</t>
        </is>
      </c>
      <c r="C76" s="9" t="inlineStr">
        <is>
          <t>SL / Target edit</t>
        </is>
      </c>
      <c r="D76" s="10" t="inlineStr">
        <is>
          <t>Clicking away from an SL edit does NOT save it</t>
        </is>
      </c>
      <c r="E76" s="9" t="inlineStr">
        <is>
          <t>P2 - High</t>
        </is>
      </c>
      <c r="F76" s="9" t="inlineStr">
        <is>
          <t>Negative</t>
        </is>
      </c>
      <c r="G76" s="10" t="inlineStr">
        <is>
          <t>An open position with an SL.</t>
        </is>
      </c>
      <c r="H76" s="10" t="inlineStr">
        <is>
          <t>1. Open the SL editor
2. Type a new value
3. Click elsewhere on the screen (do not press Enter)</t>
        </is>
      </c>
      <c r="I76" s="10" t="inlineStr">
        <is>
          <t>-</t>
        </is>
      </c>
      <c r="J76" s="10" t="inlineStr">
        <is>
          <t>The original SL is retained - risk values are only committed deliberately.</t>
        </is>
      </c>
      <c r="K76" s="10" t="inlineStr"/>
      <c r="L76" s="11" t="inlineStr">
        <is>
          <t>Not Run</t>
        </is>
      </c>
      <c r="M76" s="9" t="inlineStr"/>
      <c r="N76" s="9" t="inlineStr"/>
      <c r="O76" s="9" t="inlineStr"/>
      <c r="P76" s="10" t="inlineStr"/>
    </row>
    <row r="77">
      <c r="A77" s="12" t="inlineStr">
        <is>
          <t>TC-POS-307</t>
        </is>
      </c>
      <c r="B77" s="13" t="inlineStr">
        <is>
          <t>Positions</t>
        </is>
      </c>
      <c r="C77" s="13" t="inlineStr">
        <is>
          <t>SL / Target edit</t>
        </is>
      </c>
      <c r="D77" s="14" t="inlineStr">
        <is>
          <t>Editing one position's risk never changes another position</t>
        </is>
      </c>
      <c r="E77" s="13" t="inlineStr">
        <is>
          <t>P1 - Critical</t>
        </is>
      </c>
      <c r="F77" s="13" t="inlineStr">
        <is>
          <t>Data / Calculation</t>
        </is>
      </c>
      <c r="G77" s="14" t="inlineStr">
        <is>
          <t>Two open positions.</t>
        </is>
      </c>
      <c r="H77" s="14" t="inlineStr">
        <is>
          <t>1. Note both SL values
2. Change the SL on the first position
3. Re-read the second position's SL</t>
        </is>
      </c>
      <c r="I77" s="14" t="inlineStr">
        <is>
          <t>-</t>
        </is>
      </c>
      <c r="J77" s="14" t="inlineStr">
        <is>
          <t>Only the edited position changes.</t>
        </is>
      </c>
      <c r="K77" s="14" t="inlineStr"/>
      <c r="L77" s="15" t="inlineStr">
        <is>
          <t>Not Run</t>
        </is>
      </c>
      <c r="M77" s="13" t="inlineStr"/>
      <c r="N77" s="13" t="inlineStr"/>
      <c r="O77" s="13" t="inlineStr"/>
      <c r="P77" s="14" t="inlineStr"/>
    </row>
    <row r="78">
      <c r="A78" s="8" t="inlineStr">
        <is>
          <t>TC-POS-308</t>
        </is>
      </c>
      <c r="B78" s="9" t="inlineStr">
        <is>
          <t>Positions</t>
        </is>
      </c>
      <c r="C78" s="9" t="inlineStr">
        <is>
          <t>AdjLots</t>
        </is>
      </c>
      <c r="D78" s="10" t="inlineStr">
        <is>
          <t>AdjLots '+' adds lots and averages the entry price</t>
        </is>
      </c>
      <c r="E78" s="9" t="inlineStr">
        <is>
          <t>P1 - Critical</t>
        </is>
      </c>
      <c r="F78" s="9" t="inlineStr">
        <is>
          <t>Data / Calculation</t>
        </is>
      </c>
      <c r="G78" s="10" t="inlineStr">
        <is>
          <t>Trading mode badge shows 'Paper'. Market is open and a broker is connected. An open 1-lot position.</t>
        </is>
      </c>
      <c r="H78" s="10" t="inlineStr">
        <is>
          <t>1. Note lots and entry
2. Click '+' on AdjLots
3. Re-read the row</t>
        </is>
      </c>
      <c r="I78" s="10" t="inlineStr">
        <is>
          <t>-</t>
        </is>
      </c>
      <c r="J78" s="10" t="inlineStr">
        <is>
          <t>Lots increase by one and the entry becomes the weighted average of the original entry and the current price.</t>
        </is>
      </c>
      <c r="K78" s="10" t="inlineStr"/>
      <c r="L78" s="11" t="inlineStr">
        <is>
          <t>Not Run</t>
        </is>
      </c>
      <c r="M78" s="9" t="inlineStr"/>
      <c r="N78" s="9" t="inlineStr"/>
      <c r="O78" s="9" t="inlineStr"/>
      <c r="P78" s="10" t="inlineStr"/>
    </row>
    <row r="79">
      <c r="A79" s="12" t="inlineStr">
        <is>
          <t>TC-POS-309</t>
        </is>
      </c>
      <c r="B79" s="13" t="inlineStr">
        <is>
          <t>Positions</t>
        </is>
      </c>
      <c r="C79" s="13" t="inlineStr">
        <is>
          <t>AdjLots</t>
        </is>
      </c>
      <c r="D79" s="14" t="inlineStr">
        <is>
          <t>AdjLots '-' never reduces a position below 1 lot</t>
        </is>
      </c>
      <c r="E79" s="13" t="inlineStr">
        <is>
          <t>P2 - High</t>
        </is>
      </c>
      <c r="F79" s="13" t="inlineStr">
        <is>
          <t>Negative</t>
        </is>
      </c>
      <c r="G79" s="14" t="inlineStr">
        <is>
          <t>Trading mode badge shows 'Paper'. Market is open and a broker is connected. An open 1-lot position.</t>
        </is>
      </c>
      <c r="H79" s="14" t="inlineStr">
        <is>
          <t>1. Click '-' on AdjLots three times
2. Read the lot count</t>
        </is>
      </c>
      <c r="I79" s="14" t="inlineStr">
        <is>
          <t>-</t>
        </is>
      </c>
      <c r="J79" s="14" t="inlineStr">
        <is>
          <t>The position stays at 1 lot and is not closed or driven negative.</t>
        </is>
      </c>
      <c r="K79" s="14" t="inlineStr"/>
      <c r="L79" s="15" t="inlineStr">
        <is>
          <t>Not Run</t>
        </is>
      </c>
      <c r="M79" s="13" t="inlineStr"/>
      <c r="N79" s="13" t="inlineStr"/>
      <c r="O79" s="13" t="inlineStr"/>
      <c r="P79" s="14" t="inlineStr"/>
    </row>
    <row r="80">
      <c r="A80" s="8" t="inlineStr">
        <is>
          <t>TC-POS-310</t>
        </is>
      </c>
      <c r="B80" s="9" t="inlineStr">
        <is>
          <t>Positions</t>
        </is>
      </c>
      <c r="C80" s="9" t="inlineStr">
        <is>
          <t>AdjLots</t>
        </is>
      </c>
      <c r="D80" s="10" t="inlineStr">
        <is>
          <t>The adjust amount box applies that many lots per click</t>
        </is>
      </c>
      <c r="E80" s="9" t="inlineStr">
        <is>
          <t>P3 - Medium</t>
        </is>
      </c>
      <c r="F80" s="9" t="inlineStr">
        <is>
          <t>Functional</t>
        </is>
      </c>
      <c r="G80" s="10" t="inlineStr">
        <is>
          <t>Trading mode badge shows 'Paper'. Market is open and a broker is connected. An open position of at least 3 lots.</t>
        </is>
      </c>
      <c r="H80" s="10" t="inlineStr">
        <is>
          <t>1. Type 2 in the AdjLots amount box
2. Click '-'</t>
        </is>
      </c>
      <c r="I80" s="10" t="inlineStr">
        <is>
          <t>Amount = 2</t>
        </is>
      </c>
      <c r="J80" s="10" t="inlineStr">
        <is>
          <t>The position reduces by exactly 2 lots.</t>
        </is>
      </c>
      <c r="K80" s="10" t="inlineStr"/>
      <c r="L80" s="11" t="inlineStr">
        <is>
          <t>Not Run</t>
        </is>
      </c>
      <c r="M80" s="9" t="inlineStr"/>
      <c r="N80" s="9" t="inlineStr"/>
      <c r="O80" s="9" t="inlineStr"/>
      <c r="P80" s="10" t="inlineStr"/>
    </row>
    <row r="81">
      <c r="A81" s="12" t="inlineStr">
        <is>
          <t>TC-POS-311</t>
        </is>
      </c>
      <c r="B81" s="13" t="inlineStr">
        <is>
          <t>Positions</t>
        </is>
      </c>
      <c r="C81" s="13" t="inlineStr">
        <is>
          <t>Partial exit</t>
        </is>
      </c>
      <c r="D81" s="14" t="inlineStr">
        <is>
          <t>50% partial exit halves the position</t>
        </is>
      </c>
      <c r="E81" s="13" t="inlineStr">
        <is>
          <t>P1 - Critical</t>
        </is>
      </c>
      <c r="F81" s="13" t="inlineStr">
        <is>
          <t>Data / Calculation</t>
        </is>
      </c>
      <c r="G81" s="14" t="inlineStr">
        <is>
          <t>Trading mode badge shows 'Paper'. Market is open and a broker is connected. An open position of 2 lots (or more, even numbered).</t>
        </is>
      </c>
      <c r="H81" s="14" t="inlineStr">
        <is>
          <t>1. Note lots, quantity and P&amp;L
2. Click the '50%' button
3. Re-read the row and the header Net P&amp;L</t>
        </is>
      </c>
      <c r="I81" s="14" t="inlineStr">
        <is>
          <t>2 lots -&gt; 50%</t>
        </is>
      </c>
      <c r="J81" s="14" t="inlineStr">
        <is>
          <t>Lots halve, the remaining quantity halves with them, and the header Net P&amp;L matches the reduced size (it must NOT stay at the pre-exit level).</t>
        </is>
      </c>
      <c r="K81" s="14" t="inlineStr"/>
      <c r="L81" s="15" t="inlineStr">
        <is>
          <t>Not Run</t>
        </is>
      </c>
      <c r="M81" s="13" t="inlineStr"/>
      <c r="N81" s="13" t="inlineStr"/>
      <c r="O81" s="13" t="inlineStr"/>
      <c r="P81" s="14" t="inlineStr"/>
    </row>
    <row r="82">
      <c r="A82" s="8" t="inlineStr">
        <is>
          <t>TC-POS-312</t>
        </is>
      </c>
      <c r="B82" s="9" t="inlineStr">
        <is>
          <t>Positions</t>
        </is>
      </c>
      <c r="C82" s="9" t="inlineStr">
        <is>
          <t>Partial exit</t>
        </is>
      </c>
      <c r="D82" s="10" t="inlineStr">
        <is>
          <t>Partial-exit buttons match the percentages configured in Settings</t>
        </is>
      </c>
      <c r="E82" s="9" t="inlineStr">
        <is>
          <t>P2 - High</t>
        </is>
      </c>
      <c r="F82" s="9" t="inlineStr">
        <is>
          <t>Functional</t>
        </is>
      </c>
      <c r="G82" s="10" t="inlineStr">
        <is>
          <t>Settings &gt; Execution Defaults &gt; Partial Exit Options set to 25 / 50 / 100.</t>
        </is>
      </c>
      <c r="H82" s="10" t="inlineStr">
        <is>
          <t>1. Change the selected percentages in Settings and save
2. Return to Positions and look at the Close column</t>
        </is>
      </c>
      <c r="I82" s="10" t="inlineStr">
        <is>
          <t>25%, 50%, 75%, 100%</t>
        </is>
      </c>
      <c r="J82" s="10" t="inlineStr">
        <is>
          <t>The buttons on each row exactly match the percentages ticked in Settings.</t>
        </is>
      </c>
      <c r="K82" s="10" t="inlineStr"/>
      <c r="L82" s="11" t="inlineStr">
        <is>
          <t>Not Run</t>
        </is>
      </c>
      <c r="M82" s="9" t="inlineStr"/>
      <c r="N82" s="9" t="inlineStr"/>
      <c r="O82" s="9" t="inlineStr"/>
      <c r="P82" s="10" t="inlineStr"/>
    </row>
    <row r="83">
      <c r="A83" s="12" t="inlineStr">
        <is>
          <t>TC-POS-313</t>
        </is>
      </c>
      <c r="B83" s="13" t="inlineStr">
        <is>
          <t>Positions</t>
        </is>
      </c>
      <c r="C83" s="13" t="inlineStr">
        <is>
          <t>Full exit</t>
        </is>
      </c>
      <c r="D83" s="14" t="inlineStr">
        <is>
          <t>100% closes the position and marks it CLOSED</t>
        </is>
      </c>
      <c r="E83" s="13" t="inlineStr">
        <is>
          <t>P1 - Critical</t>
        </is>
      </c>
      <c r="F83" s="13" t="inlineStr">
        <is>
          <t>Functional</t>
        </is>
      </c>
      <c r="G83" s="14" t="inlineStr">
        <is>
          <t>Trading mode badge shows 'Paper'. Market is open and a broker is connected. An open position.</t>
        </is>
      </c>
      <c r="H83" s="14" t="inlineStr">
        <is>
          <t>1. Click '100%' on the row
2. Read the row</t>
        </is>
      </c>
      <c r="I83" s="14" t="inlineStr">
        <is>
          <t>-</t>
        </is>
      </c>
      <c r="J83" s="14" t="inlineStr">
        <is>
          <t>The row shows a CLOSED tag with an exit price, sinks below the open positions, and the Open counter decreases.</t>
        </is>
      </c>
      <c r="K83" s="14" t="inlineStr"/>
      <c r="L83" s="15" t="inlineStr">
        <is>
          <t>Not Run</t>
        </is>
      </c>
      <c r="M83" s="13" t="inlineStr"/>
      <c r="N83" s="13" t="inlineStr"/>
      <c r="O83" s="13" t="inlineStr"/>
      <c r="P83" s="14" t="inlineStr"/>
    </row>
    <row r="84">
      <c r="A84" s="8" t="inlineStr">
        <is>
          <t>TC-POS-314</t>
        </is>
      </c>
      <c r="B84" s="9" t="inlineStr">
        <is>
          <t>Positions</t>
        </is>
      </c>
      <c r="C84" s="9" t="inlineStr">
        <is>
          <t>Square off all</t>
        </is>
      </c>
      <c r="D84" s="10" t="inlineStr">
        <is>
          <t>Square Off All asks for confirmation and states how many will close</t>
        </is>
      </c>
      <c r="E84" s="9" t="inlineStr">
        <is>
          <t>P1 - Critical</t>
        </is>
      </c>
      <c r="F84" s="9" t="inlineStr">
        <is>
          <t>Functional</t>
        </is>
      </c>
      <c r="G84" s="10" t="inlineStr">
        <is>
          <t>Two or more open positions.</t>
        </is>
      </c>
      <c r="H84" s="10" t="inlineStr">
        <is>
          <t>1. Click 'Square Off All'
2. Read the dialog</t>
        </is>
      </c>
      <c r="I84" s="10" t="inlineStr">
        <is>
          <t>-</t>
        </is>
      </c>
      <c r="J84" s="10" t="inlineStr">
        <is>
          <t>The dialog names the exact number of positions and warns it cannot be undone, with Cancel and Square Off All buttons.</t>
        </is>
      </c>
      <c r="K84" s="10" t="inlineStr"/>
      <c r="L84" s="11" t="inlineStr">
        <is>
          <t>Not Run</t>
        </is>
      </c>
      <c r="M84" s="9" t="inlineStr"/>
      <c r="N84" s="9" t="inlineStr"/>
      <c r="O84" s="9" t="inlineStr"/>
      <c r="P84" s="10" t="inlineStr"/>
    </row>
    <row r="85">
      <c r="A85" s="12" t="inlineStr">
        <is>
          <t>TC-POS-315</t>
        </is>
      </c>
      <c r="B85" s="13" t="inlineStr">
        <is>
          <t>Positions</t>
        </is>
      </c>
      <c r="C85" s="13" t="inlineStr">
        <is>
          <t>Square off all</t>
        </is>
      </c>
      <c r="D85" s="14" t="inlineStr">
        <is>
          <t>Cancelling the confirmation leaves every position open</t>
        </is>
      </c>
      <c r="E85" s="13" t="inlineStr">
        <is>
          <t>P1 - Critical</t>
        </is>
      </c>
      <c r="F85" s="13" t="inlineStr">
        <is>
          <t>Negative</t>
        </is>
      </c>
      <c r="G85" s="14" t="inlineStr">
        <is>
          <t>Two or more open positions.</t>
        </is>
      </c>
      <c r="H85" s="14" t="inlineStr">
        <is>
          <t>1. Click 'Square Off All'
2. Click Cancel</t>
        </is>
      </c>
      <c r="I85" s="14" t="inlineStr">
        <is>
          <t>-</t>
        </is>
      </c>
      <c r="J85" s="14" t="inlineStr">
        <is>
          <t>No position is closed.</t>
        </is>
      </c>
      <c r="K85" s="14" t="inlineStr"/>
      <c r="L85" s="15" t="inlineStr">
        <is>
          <t>Not Run</t>
        </is>
      </c>
      <c r="M85" s="13" t="inlineStr"/>
      <c r="N85" s="13" t="inlineStr"/>
      <c r="O85" s="13" t="inlineStr"/>
      <c r="P85" s="14" t="inlineStr"/>
    </row>
    <row r="86">
      <c r="A86" s="8" t="inlineStr">
        <is>
          <t>TC-POS-316</t>
        </is>
      </c>
      <c r="B86" s="9" t="inlineStr">
        <is>
          <t>Positions</t>
        </is>
      </c>
      <c r="C86" s="9" t="inlineStr">
        <is>
          <t>Square off all</t>
        </is>
      </c>
      <c r="D86" s="10" t="inlineStr">
        <is>
          <t>Confirming closes every open position</t>
        </is>
      </c>
      <c r="E86" s="9" t="inlineStr">
        <is>
          <t>P1 - Critical</t>
        </is>
      </c>
      <c r="F86" s="9" t="inlineStr">
        <is>
          <t>Functional</t>
        </is>
      </c>
      <c r="G86" s="10" t="inlineStr">
        <is>
          <t>Trading mode badge shows 'Paper'. Market is open and a broker is connected. Two or more open positions.</t>
        </is>
      </c>
      <c r="H86" s="10" t="inlineStr">
        <is>
          <t>1. Click 'Square Off All'
2. Confirm
3. Read the grid and counters</t>
        </is>
      </c>
      <c r="I86" s="10" t="inlineStr">
        <is>
          <t>-</t>
        </is>
      </c>
      <c r="J86" s="10" t="inlineStr">
        <is>
          <t>All rows become CLOSED, 'Open : 0' and the Square Off All button becomes disabled.</t>
        </is>
      </c>
      <c r="K86" s="10" t="inlineStr"/>
      <c r="L86" s="11" t="inlineStr">
        <is>
          <t>Not Run</t>
        </is>
      </c>
      <c r="M86" s="9" t="inlineStr"/>
      <c r="N86" s="9" t="inlineStr"/>
      <c r="O86" s="9" t="inlineStr"/>
      <c r="P86" s="10" t="inlineStr"/>
    </row>
    <row r="87">
      <c r="A87" s="12" t="inlineStr">
        <is>
          <t>TC-POS-317</t>
        </is>
      </c>
      <c r="B87" s="13" t="inlineStr">
        <is>
          <t>Positions</t>
        </is>
      </c>
      <c r="C87" s="13" t="inlineStr">
        <is>
          <t>Square off all</t>
        </is>
      </c>
      <c r="D87" s="14" t="inlineStr">
        <is>
          <t>The button is disabled when nothing is open</t>
        </is>
      </c>
      <c r="E87" s="13" t="inlineStr">
        <is>
          <t>P3 - Medium</t>
        </is>
      </c>
      <c r="F87" s="13" t="inlineStr">
        <is>
          <t>UI / UX</t>
        </is>
      </c>
      <c r="G87" s="14" t="inlineStr">
        <is>
          <t>No open positions.</t>
        </is>
      </c>
      <c r="H87" s="14" t="inlineStr">
        <is>
          <t>1. Look at the Square Off All button</t>
        </is>
      </c>
      <c r="I87" s="14" t="inlineStr">
        <is>
          <t>-</t>
        </is>
      </c>
      <c r="J87" s="14" t="inlineStr">
        <is>
          <t>It is greyed out.</t>
        </is>
      </c>
      <c r="K87" s="14" t="inlineStr"/>
      <c r="L87" s="15" t="inlineStr">
        <is>
          <t>Not Run</t>
        </is>
      </c>
      <c r="M87" s="13" t="inlineStr"/>
      <c r="N87" s="13" t="inlineStr"/>
      <c r="O87" s="13" t="inlineStr"/>
      <c r="P87" s="14" t="inlineStr"/>
    </row>
    <row r="88">
      <c r="A88" s="8" t="inlineStr">
        <is>
          <t>TC-POS-318</t>
        </is>
      </c>
      <c r="B88" s="9" t="inlineStr">
        <is>
          <t>Positions</t>
        </is>
      </c>
      <c r="C88" s="9" t="inlineStr">
        <is>
          <t>Closed rows</t>
        </is>
      </c>
      <c r="D88" s="10" t="inlineStr">
        <is>
          <t>Closed positions show why they closed</t>
        </is>
      </c>
      <c r="E88" s="9" t="inlineStr">
        <is>
          <t>P2 - High</t>
        </is>
      </c>
      <c r="F88" s="9" t="inlineStr">
        <is>
          <t>UI / UX</t>
        </is>
      </c>
      <c r="G88" s="10" t="inlineStr">
        <is>
          <t>A position that was closed by its SL or Target.</t>
        </is>
      </c>
      <c r="H88" s="10" t="inlineStr">
        <is>
          <t>1. Look at the closed row's tag</t>
        </is>
      </c>
      <c r="I88" s="10" t="inlineStr">
        <is>
          <t>-</t>
        </is>
      </c>
      <c r="J88" s="10" t="inlineStr">
        <is>
          <t>The tag reads 'SL Hit' or 'Target Hit' (rather than a plain 'Closed') so the reason is obvious.</t>
        </is>
      </c>
      <c r="K88" s="10" t="inlineStr"/>
      <c r="L88" s="11" t="inlineStr">
        <is>
          <t>Not Run</t>
        </is>
      </c>
      <c r="M88" s="9" t="inlineStr"/>
      <c r="N88" s="9" t="inlineStr"/>
      <c r="O88" s="9" t="inlineStr"/>
      <c r="P88" s="10" t="inlineStr"/>
    </row>
    <row r="89">
      <c r="A89" s="12" t="inlineStr">
        <is>
          <t>TC-POS-319</t>
        </is>
      </c>
      <c r="B89" s="13" t="inlineStr">
        <is>
          <t>Positions</t>
        </is>
      </c>
      <c r="C89" s="13" t="inlineStr">
        <is>
          <t>Ordering</t>
        </is>
      </c>
      <c r="D89" s="14" t="inlineStr">
        <is>
          <t>Open positions sort above closed ones</t>
        </is>
      </c>
      <c r="E89" s="13" t="inlineStr">
        <is>
          <t>P3 - Medium</t>
        </is>
      </c>
      <c r="F89" s="13" t="inlineStr">
        <is>
          <t>UI / UX</t>
        </is>
      </c>
      <c r="G89" s="14" t="inlineStr">
        <is>
          <t>A mix of open and closed positions.</t>
        </is>
      </c>
      <c r="H89" s="14" t="inlineStr">
        <is>
          <t>1. Look at the order of rows</t>
        </is>
      </c>
      <c r="I89" s="14" t="inlineStr">
        <is>
          <t>-</t>
        </is>
      </c>
      <c r="J89" s="14" t="inlineStr">
        <is>
          <t>Every open position appears above every closed one.</t>
        </is>
      </c>
      <c r="K89" s="14" t="inlineStr"/>
      <c r="L89" s="15" t="inlineStr">
        <is>
          <t>Not Run</t>
        </is>
      </c>
      <c r="M89" s="13" t="inlineStr"/>
      <c r="N89" s="13" t="inlineStr"/>
      <c r="O89" s="13" t="inlineStr"/>
      <c r="P89" s="14" t="inlineStr"/>
    </row>
    <row r="90">
      <c r="A90" s="8" t="inlineStr">
        <is>
          <t>TC-POS-320</t>
        </is>
      </c>
      <c r="B90" s="9" t="inlineStr">
        <is>
          <t>Positions</t>
        </is>
      </c>
      <c r="C90" s="9" t="inlineStr">
        <is>
          <t>Working orders</t>
        </is>
      </c>
      <c r="D90" s="10" t="inlineStr">
        <is>
          <t>Pending limit orders appear above positions with a badge</t>
        </is>
      </c>
      <c r="E90" s="9" t="inlineStr">
        <is>
          <t>P2 - High</t>
        </is>
      </c>
      <c r="F90" s="9" t="inlineStr">
        <is>
          <t>UI / UX</t>
        </is>
      </c>
      <c r="G90" s="10" t="inlineStr">
        <is>
          <t>Trading mode badge shows 'Paper'. Market is open and a broker is connected. A pending limit order exists.</t>
        </is>
      </c>
      <c r="H90" s="10" t="inlineStr">
        <is>
          <t>1. Look at the top of the Positions grid</t>
        </is>
      </c>
      <c r="I90" s="10" t="inlineStr">
        <is>
          <t>-</t>
        </is>
      </c>
      <c r="J90" s="10" t="inlineStr">
        <is>
          <t>A working-order row shows a blue 'Pending' (or orange 'Partial') badge with side and limit price; Entry/Exit/LTP/P&amp;L cells stay blank until it fills.</t>
        </is>
      </c>
      <c r="K90" s="10" t="inlineStr"/>
      <c r="L90" s="11" t="inlineStr">
        <is>
          <t>Not Run</t>
        </is>
      </c>
      <c r="M90" s="9" t="inlineStr"/>
      <c r="N90" s="9" t="inlineStr"/>
      <c r="O90" s="9" t="inlineStr"/>
      <c r="P90" s="10" t="inlineStr"/>
    </row>
    <row r="91">
      <c r="A91" s="12" t="inlineStr">
        <is>
          <t>TC-POS-321</t>
        </is>
      </c>
      <c r="B91" s="13" t="inlineStr">
        <is>
          <t>Positions</t>
        </is>
      </c>
      <c r="C91" s="13" t="inlineStr">
        <is>
          <t>Working orders</t>
        </is>
      </c>
      <c r="D91" s="14" t="inlineStr">
        <is>
          <t>A working order can be modified from the Positions grid</t>
        </is>
      </c>
      <c r="E91" s="13" t="inlineStr">
        <is>
          <t>P1 - Critical</t>
        </is>
      </c>
      <c r="F91" s="13" t="inlineStr">
        <is>
          <t>Functional</t>
        </is>
      </c>
      <c r="G91" s="14" t="inlineStr">
        <is>
          <t>Trading mode badge shows 'Paper'. Market is open and a broker is connected. A pending limit order exists.</t>
        </is>
      </c>
      <c r="H91" s="14" t="inlineStr">
        <is>
          <t>1. Click the pencil on the working-order row
2. Change the price AND the lots
3. Click the tick</t>
        </is>
      </c>
      <c r="I91" s="14" t="inlineStr">
        <is>
          <t>New price on a 0.05 tick, new lot count</t>
        </is>
      </c>
      <c r="J91" s="14" t="inlineStr">
        <is>
          <t>The row updates with the new price and lot count; the order stays pending.</t>
        </is>
      </c>
      <c r="K91" s="14" t="inlineStr"/>
      <c r="L91" s="15" t="inlineStr">
        <is>
          <t>Not Run</t>
        </is>
      </c>
      <c r="M91" s="13" t="inlineStr"/>
      <c r="N91" s="13" t="inlineStr"/>
      <c r="O91" s="13" t="inlineStr"/>
      <c r="P91" s="14" t="inlineStr"/>
    </row>
    <row r="92">
      <c r="A92" s="8" t="inlineStr">
        <is>
          <t>TC-POS-322</t>
        </is>
      </c>
      <c r="B92" s="9" t="inlineStr">
        <is>
          <t>Positions</t>
        </is>
      </c>
      <c r="C92" s="9" t="inlineStr">
        <is>
          <t>Working orders</t>
        </is>
      </c>
      <c r="D92" s="10" t="inlineStr">
        <is>
          <t>A working order can be cancelled from the Positions grid</t>
        </is>
      </c>
      <c r="E92" s="9" t="inlineStr">
        <is>
          <t>P1 - Critical</t>
        </is>
      </c>
      <c r="F92" s="9" t="inlineStr">
        <is>
          <t>Functional</t>
        </is>
      </c>
      <c r="G92" s="10" t="inlineStr">
        <is>
          <t>Trading mode badge shows 'Paper'. Market is open and a broker is connected. A pending limit order exists.</t>
        </is>
      </c>
      <c r="H92" s="10" t="inlineStr">
        <is>
          <t>1. Click the cross on the working-order row
2. Check Orders &gt; Order Book</t>
        </is>
      </c>
      <c r="I92" s="10" t="inlineStr">
        <is>
          <t>-</t>
        </is>
      </c>
      <c r="J92" s="10" t="inlineStr">
        <is>
          <t>The row disappears from Positions and the Order Book shows the order as CANCELLED.</t>
        </is>
      </c>
      <c r="K92" s="10" t="inlineStr"/>
      <c r="L92" s="11" t="inlineStr">
        <is>
          <t>Not Run</t>
        </is>
      </c>
      <c r="M92" s="9" t="inlineStr"/>
      <c r="N92" s="9" t="inlineStr"/>
      <c r="O92" s="9" t="inlineStr"/>
      <c r="P92" s="10" t="inlineStr"/>
    </row>
    <row r="93">
      <c r="A93" s="12" t="inlineStr">
        <is>
          <t>TC-POS-323</t>
        </is>
      </c>
      <c r="B93" s="13" t="inlineStr">
        <is>
          <t>Positions</t>
        </is>
      </c>
      <c r="C93" s="13" t="inlineStr">
        <is>
          <t>Column menu</t>
        </is>
      </c>
      <c r="D93" s="14" t="inlineStr">
        <is>
          <t>The Roll column can be shown or hidden</t>
        </is>
      </c>
      <c r="E93" s="13" t="inlineStr">
        <is>
          <t>P3 - Medium</t>
        </is>
      </c>
      <c r="F93" s="13" t="inlineStr">
        <is>
          <t>UI / UX</t>
        </is>
      </c>
      <c r="G93" s="14" t="inlineStr">
        <is>
          <t>Charticks is installed and open; sidecar (engine) is running.</t>
        </is>
      </c>
      <c r="H93" s="14" t="inlineStr">
        <is>
          <t>1. Click the grid icon in the Positions header
2. Untick 'Roll'
3. Tick it again</t>
        </is>
      </c>
      <c r="I93" s="14" t="inlineStr">
        <is>
          <t>-</t>
        </is>
      </c>
      <c r="J93" s="14" t="inlineStr">
        <is>
          <t>The Roll column disappears and reappears; the table stays aligned with no empty column left behind.</t>
        </is>
      </c>
      <c r="K93" s="14" t="inlineStr"/>
      <c r="L93" s="15" t="inlineStr">
        <is>
          <t>Not Run</t>
        </is>
      </c>
      <c r="M93" s="13" t="inlineStr"/>
      <c r="N93" s="13" t="inlineStr"/>
      <c r="O93" s="13" t="inlineStr"/>
      <c r="P93" s="14" t="inlineStr"/>
    </row>
    <row r="94">
      <c r="A94" s="8" t="inlineStr">
        <is>
          <t>TC-POS-324</t>
        </is>
      </c>
      <c r="B94" s="9" t="inlineStr">
        <is>
          <t>Positions</t>
        </is>
      </c>
      <c r="C94" s="9" t="inlineStr">
        <is>
          <t>Strike band</t>
        </is>
      </c>
      <c r="D94" s="10" t="inlineStr">
        <is>
          <t>Strike Band choice appears only when Roll is enabled</t>
        </is>
      </c>
      <c r="E94" s="9" t="inlineStr">
        <is>
          <t>P3 - Medium</t>
        </is>
      </c>
      <c r="F94" s="9" t="inlineStr">
        <is>
          <t>UI / UX</t>
        </is>
      </c>
      <c r="G94" s="10" t="inlineStr">
        <is>
          <t>Charticks is installed and open; sidecar (engine) is running.</t>
        </is>
      </c>
      <c r="H94" s="10" t="inlineStr">
        <is>
          <t>1. Open the column menu
2. Untick Roll
3. Tick Roll</t>
        </is>
      </c>
      <c r="I94" s="10" t="inlineStr">
        <is>
          <t>1-5 / 5-10 / 10-15</t>
        </is>
      </c>
      <c r="J94" s="10" t="inlineStr">
        <is>
          <t>The Strike Band radio group is hidden when Roll is off and shown when Roll is on.</t>
        </is>
      </c>
      <c r="K94" s="10" t="inlineStr"/>
      <c r="L94" s="11" t="inlineStr">
        <is>
          <t>Not Run</t>
        </is>
      </c>
      <c r="M94" s="9" t="inlineStr"/>
      <c r="N94" s="9" t="inlineStr"/>
      <c r="O94" s="9" t="inlineStr"/>
      <c r="P94" s="10" t="inlineStr"/>
    </row>
    <row r="95">
      <c r="A95" s="12" t="inlineStr">
        <is>
          <t>TC-ROLL-301</t>
        </is>
      </c>
      <c r="B95" s="13" t="inlineStr">
        <is>
          <t>Roll</t>
        </is>
      </c>
      <c r="C95" s="13" t="inlineStr">
        <is>
          <t>Dialog</t>
        </is>
      </c>
      <c r="D95" s="14" t="inlineStr">
        <is>
          <t>Roll Up / Roll Down opens the strike picker with live premiums</t>
        </is>
      </c>
      <c r="E95" s="13" t="inlineStr">
        <is>
          <t>P2 - High</t>
        </is>
      </c>
      <c r="F95" s="13" t="inlineStr">
        <is>
          <t>Functional</t>
        </is>
      </c>
      <c r="G95" s="14" t="inlineStr">
        <is>
          <t>An open option position and the Roll column enabled.</t>
        </is>
      </c>
      <c r="H95" s="14" t="inlineStr">
        <is>
          <t>1. Click the up arrow on a position
2. Read the dialog</t>
        </is>
      </c>
      <c r="I95" s="14" t="inlineStr">
        <is>
          <t>-</t>
        </is>
      </c>
      <c r="J95" s="14" t="inlineStr">
        <is>
          <t>A dialog lists candidate strikes above the current one, each with its own live premium, within the configured strike band.</t>
        </is>
      </c>
      <c r="K95" s="14" t="inlineStr"/>
      <c r="L95" s="15" t="inlineStr">
        <is>
          <t>Not Run</t>
        </is>
      </c>
      <c r="M95" s="13" t="inlineStr"/>
      <c r="N95" s="13" t="inlineStr"/>
      <c r="O95" s="13" t="inlineStr"/>
      <c r="P95" s="14" t="inlineStr"/>
    </row>
    <row r="96">
      <c r="A96" s="8" t="inlineStr">
        <is>
          <t>TC-ROLL-302</t>
        </is>
      </c>
      <c r="B96" s="9" t="inlineStr">
        <is>
          <t>Roll</t>
        </is>
      </c>
      <c r="C96" s="9" t="inlineStr">
        <is>
          <t>Execution</t>
        </is>
      </c>
      <c r="D96" s="10" t="inlineStr">
        <is>
          <t>Rolling closes the old leg and opens the new strike</t>
        </is>
      </c>
      <c r="E96" s="9" t="inlineStr">
        <is>
          <t>P1 - Critical</t>
        </is>
      </c>
      <c r="F96" s="9" t="inlineStr">
        <is>
          <t>Integration</t>
        </is>
      </c>
      <c r="G96" s="10" t="inlineStr">
        <is>
          <t>Trading mode badge shows 'Paper'. Market is open and a broker is connected. An open option position.</t>
        </is>
      </c>
      <c r="H96" s="10" t="inlineStr">
        <is>
          <t>1. Note the current strike, SL and Target
2. Roll up by one strike
3. Read the grid</t>
        </is>
      </c>
      <c r="I96" s="10" t="inlineStr">
        <is>
          <t>-</t>
        </is>
      </c>
      <c r="J96" s="10" t="inlineStr">
        <is>
          <t>The original row becomes CLOSED and a new open row appears at the new strike, with SL and Target re-derived from the new entry premium using the same rule.</t>
        </is>
      </c>
      <c r="K96" s="10" t="inlineStr"/>
      <c r="L96" s="11" t="inlineStr">
        <is>
          <t>Not Run</t>
        </is>
      </c>
      <c r="M96" s="9" t="inlineStr"/>
      <c r="N96" s="9" t="inlineStr"/>
      <c r="O96" s="9" t="inlineStr"/>
      <c r="P96" s="10" t="inlineStr"/>
    </row>
    <row r="97">
      <c r="A97" s="12" t="inlineStr">
        <is>
          <t>TC-ROLL-303</t>
        </is>
      </c>
      <c r="B97" s="13" t="inlineStr">
        <is>
          <t>Roll</t>
        </is>
      </c>
      <c r="C97" s="13" t="inlineStr">
        <is>
          <t>Session gate</t>
        </is>
      </c>
      <c r="D97" s="14" t="inlineStr">
        <is>
          <t>Rolling outside market hours is blocked</t>
        </is>
      </c>
      <c r="E97" s="13" t="inlineStr">
        <is>
          <t>P2 - High</t>
        </is>
      </c>
      <c r="F97" s="13" t="inlineStr">
        <is>
          <t>Negative</t>
        </is>
      </c>
      <c r="G97" s="14" t="inlineStr">
        <is>
          <t>An open position and the market closed.</t>
        </is>
      </c>
      <c r="H97" s="14" t="inlineStr">
        <is>
          <t>1. Attempt a roll</t>
        </is>
      </c>
      <c r="I97" s="14" t="inlineStr">
        <is>
          <t>-</t>
        </is>
      </c>
      <c r="J97" s="14" t="inlineStr">
        <is>
          <t>The 'Market Closed' dialog appears and neither leg changes.</t>
        </is>
      </c>
      <c r="K97" s="14" t="inlineStr"/>
      <c r="L97" s="15" t="inlineStr">
        <is>
          <t>Not Run</t>
        </is>
      </c>
      <c r="M97" s="13" t="inlineStr"/>
      <c r="N97" s="13" t="inlineStr"/>
      <c r="O97" s="13" t="inlineStr"/>
      <c r="P97" s="14" t="inlineStr"/>
    </row>
    <row r="98">
      <c r="A98" s="8" t="inlineStr">
        <is>
          <t>TC-OBK-301</t>
        </is>
      </c>
      <c r="B98" s="9" t="inlineStr">
        <is>
          <t>Orders</t>
        </is>
      </c>
      <c r="C98" s="9" t="inlineStr">
        <is>
          <t>Order Book</t>
        </is>
      </c>
      <c r="D98" s="10" t="inlineStr">
        <is>
          <t>Order Book lists every submitted order with its live status</t>
        </is>
      </c>
      <c r="E98" s="9" t="inlineStr">
        <is>
          <t>P1 - Critical</t>
        </is>
      </c>
      <c r="F98" s="9" t="inlineStr">
        <is>
          <t>Functional</t>
        </is>
      </c>
      <c r="G98" s="10" t="inlineStr">
        <is>
          <t>Trading mode badge shows 'Paper'. Market is open and a broker is connected. At least one executed and one cancelled order.</t>
        </is>
      </c>
      <c r="H98" s="10" t="inlineStr">
        <is>
          <t>1. Go to Orders &gt; Order Book
2. Read the rows</t>
        </is>
      </c>
      <c r="I98" s="10" t="inlineStr">
        <is>
          <t>-</t>
        </is>
      </c>
      <c r="J98" s="10" t="inlineStr">
        <is>
          <t>Each row shows time, instrument, side, type, lots, quantity, price and a colour-coded status (EXECUTED / PENDING / PARTIAL / CANCELLED / REJECTED). Newest first.</t>
        </is>
      </c>
      <c r="K98" s="10" t="inlineStr"/>
      <c r="L98" s="11" t="inlineStr">
        <is>
          <t>Not Run</t>
        </is>
      </c>
      <c r="M98" s="9" t="inlineStr"/>
      <c r="N98" s="9" t="inlineStr"/>
      <c r="O98" s="9" t="inlineStr"/>
      <c r="P98" s="10" t="inlineStr"/>
    </row>
    <row r="99">
      <c r="A99" s="12" t="inlineStr">
        <is>
          <t>TC-OBK-302</t>
        </is>
      </c>
      <c r="B99" s="13" t="inlineStr">
        <is>
          <t>Orders</t>
        </is>
      </c>
      <c r="C99" s="13" t="inlineStr">
        <is>
          <t>Trade Book</t>
        </is>
      </c>
      <c r="D99" s="14" t="inlineStr">
        <is>
          <t>Trade Book lists actual fills with the traded price</t>
        </is>
      </c>
      <c r="E99" s="13" t="inlineStr">
        <is>
          <t>P1 - Critical</t>
        </is>
      </c>
      <c r="F99" s="13" t="inlineStr">
        <is>
          <t>Functional</t>
        </is>
      </c>
      <c r="G99" s="14" t="inlineStr">
        <is>
          <t>Trading mode badge shows 'Paper'. Market is open and a broker is connected. At least one executed order.</t>
        </is>
      </c>
      <c r="H99" s="14" t="inlineStr">
        <is>
          <t>1. Go to Orders &gt; Trade Book
2. Compare a fill against the same order in Order Book</t>
        </is>
      </c>
      <c r="I99" s="14" t="inlineStr">
        <is>
          <t>-</t>
        </is>
      </c>
      <c r="J99" s="14" t="inlineStr">
        <is>
          <t>The Trade Book shows the price the order actually filled at, and the quantity filled.</t>
        </is>
      </c>
      <c r="K99" s="14" t="inlineStr"/>
      <c r="L99" s="15" t="inlineStr">
        <is>
          <t>Not Run</t>
        </is>
      </c>
      <c r="M99" s="13" t="inlineStr"/>
      <c r="N99" s="13" t="inlineStr"/>
      <c r="O99" s="13" t="inlineStr"/>
      <c r="P99" s="14" t="inlineStr"/>
    </row>
    <row r="100">
      <c r="A100" s="8" t="inlineStr">
        <is>
          <t>TC-OBK-303</t>
        </is>
      </c>
      <c r="B100" s="9" t="inlineStr">
        <is>
          <t>Orders</t>
        </is>
      </c>
      <c r="C100" s="9" t="inlineStr">
        <is>
          <t>Tabs</t>
        </is>
      </c>
      <c r="D100" s="10" t="inlineStr">
        <is>
          <t>Tab counters match the number of rows</t>
        </is>
      </c>
      <c r="E100" s="9" t="inlineStr">
        <is>
          <t>P2 - High</t>
        </is>
      </c>
      <c r="F100" s="9" t="inlineStr">
        <is>
          <t>UI / UX</t>
        </is>
      </c>
      <c r="G100" s="10" t="inlineStr">
        <is>
          <t>Orders and trades exist.</t>
        </is>
      </c>
      <c r="H100" s="10" t="inlineStr">
        <is>
          <t>1. Read the counts on the two tabs
2. Count the rows in each</t>
        </is>
      </c>
      <c r="I100" s="10" t="inlineStr">
        <is>
          <t>-</t>
        </is>
      </c>
      <c r="J100" s="10" t="inlineStr">
        <is>
          <t>The counters equal the row counts and update as new orders are placed.</t>
        </is>
      </c>
      <c r="K100" s="10" t="inlineStr"/>
      <c r="L100" s="11" t="inlineStr">
        <is>
          <t>Not Run</t>
        </is>
      </c>
      <c r="M100" s="9" t="inlineStr"/>
      <c r="N100" s="9" t="inlineStr"/>
      <c r="O100" s="9" t="inlineStr"/>
      <c r="P100" s="10" t="inlineStr"/>
    </row>
    <row r="101">
      <c r="A101" s="12" t="inlineStr">
        <is>
          <t>TC-OBK-304</t>
        </is>
      </c>
      <c r="B101" s="13" t="inlineStr">
        <is>
          <t>Orders</t>
        </is>
      </c>
      <c r="C101" s="13" t="inlineStr">
        <is>
          <t>Empty state</t>
        </is>
      </c>
      <c r="D101" s="14" t="inlineStr">
        <is>
          <t>Empty books show a friendly message</t>
        </is>
      </c>
      <c r="E101" s="13" t="inlineStr">
        <is>
          <t>P3 - Medium</t>
        </is>
      </c>
      <c r="F101" s="13" t="inlineStr">
        <is>
          <t>UI / UX</t>
        </is>
      </c>
      <c r="G101" s="14" t="inlineStr">
        <is>
          <t>A fresh session with no orders.</t>
        </is>
      </c>
      <c r="H101" s="14" t="inlineStr">
        <is>
          <t>1. Open both tabs</t>
        </is>
      </c>
      <c r="I101" s="14" t="inlineStr">
        <is>
          <t>-</t>
        </is>
      </c>
      <c r="J101" s="14" t="inlineStr">
        <is>
          <t>'No orders yet' and 'No trades yet' rather than blank tables.</t>
        </is>
      </c>
      <c r="K101" s="14" t="inlineStr"/>
      <c r="L101" s="15" t="inlineStr">
        <is>
          <t>Not Run</t>
        </is>
      </c>
      <c r="M101" s="13" t="inlineStr"/>
      <c r="N101" s="13" t="inlineStr"/>
      <c r="O101" s="13" t="inlineStr"/>
      <c r="P101" s="14" t="inlineStr"/>
    </row>
    <row r="102">
      <c r="A102" s="8" t="inlineStr">
        <is>
          <t>TC-OBK-305</t>
        </is>
      </c>
      <c r="B102" s="9" t="inlineStr">
        <is>
          <t>Orders</t>
        </is>
      </c>
      <c r="C102" s="9" t="inlineStr">
        <is>
          <t>Modify</t>
        </is>
      </c>
      <c r="D102" s="10" t="inlineStr">
        <is>
          <t>Only working LIMIT orders offer the modify pencil</t>
        </is>
      </c>
      <c r="E102" s="9" t="inlineStr">
        <is>
          <t>P2 - High</t>
        </is>
      </c>
      <c r="F102" s="9" t="inlineStr">
        <is>
          <t>UI / UX</t>
        </is>
      </c>
      <c r="G102" s="10" t="inlineStr">
        <is>
          <t>One executed and one pending limit order.</t>
        </is>
      </c>
      <c r="H102" s="10" t="inlineStr">
        <is>
          <t>1. Look at the action column of both rows</t>
        </is>
      </c>
      <c r="I102" s="10" t="inlineStr">
        <is>
          <t>-</t>
        </is>
      </c>
      <c r="J102" s="10" t="inlineStr">
        <is>
          <t>The pending limit row has a pencil and Cancel; the executed row has neither.</t>
        </is>
      </c>
      <c r="K102" s="10" t="inlineStr"/>
      <c r="L102" s="11" t="inlineStr">
        <is>
          <t>Not Run</t>
        </is>
      </c>
      <c r="M102" s="9" t="inlineStr"/>
      <c r="N102" s="9" t="inlineStr"/>
      <c r="O102" s="9" t="inlineStr"/>
      <c r="P102" s="10" t="inlineStr"/>
    </row>
    <row r="103">
      <c r="A103" s="12" t="inlineStr">
        <is>
          <t>TC-OBK-306</t>
        </is>
      </c>
      <c r="B103" s="13" t="inlineStr">
        <is>
          <t>Orders</t>
        </is>
      </c>
      <c r="C103" s="13" t="inlineStr">
        <is>
          <t>Cancel</t>
        </is>
      </c>
      <c r="D103" s="14" t="inlineStr">
        <is>
          <t>An executed order cannot be cancelled</t>
        </is>
      </c>
      <c r="E103" s="13" t="inlineStr">
        <is>
          <t>P1 - Critical</t>
        </is>
      </c>
      <c r="F103" s="13" t="inlineStr">
        <is>
          <t>Negative</t>
        </is>
      </c>
      <c r="G103" s="14" t="inlineStr">
        <is>
          <t>Trading mode badge shows 'Paper'. Market is open and a broker is connected. An executed order exists.</t>
        </is>
      </c>
      <c r="H103" s="14" t="inlineStr">
        <is>
          <t>1. Attempt to cancel the executed order (no control should exist)</t>
        </is>
      </c>
      <c r="I103" s="14" t="inlineStr">
        <is>
          <t>-</t>
        </is>
      </c>
      <c r="J103" s="14" t="inlineStr">
        <is>
          <t>No cancel action is offered, and any attempt is refused with 'Only pending orders can be cancelled.'</t>
        </is>
      </c>
      <c r="K103" s="14" t="inlineStr"/>
      <c r="L103" s="15" t="inlineStr">
        <is>
          <t>Not Run</t>
        </is>
      </c>
      <c r="M103" s="13" t="inlineStr"/>
      <c r="N103" s="13" t="inlineStr"/>
      <c r="O103" s="13" t="inlineStr"/>
      <c r="P103" s="14" t="inlineStr"/>
    </row>
    <row r="104">
      <c r="A104" s="8" t="inlineStr">
        <is>
          <t>TC-RSK-301</t>
        </is>
      </c>
      <c r="B104" s="9" t="inlineStr">
        <is>
          <t>Risk Rules</t>
        </is>
      </c>
      <c r="C104" s="9" t="inlineStr">
        <is>
          <t>SL / Target</t>
        </is>
      </c>
      <c r="D104" s="10" t="inlineStr">
        <is>
          <t>A new BUY gets SL below and Target above entry (Points mode)</t>
        </is>
      </c>
      <c r="E104" s="9" t="inlineStr">
        <is>
          <t>P1 - Critical</t>
        </is>
      </c>
      <c r="F104" s="9" t="inlineStr">
        <is>
          <t>Data / Calculation</t>
        </is>
      </c>
      <c r="G104" s="10" t="inlineStr">
        <is>
          <t>Settings &gt; Trade Defaults: SL and Target enabled, mode Points. NIFTY defaults SL 20, Target 40.</t>
        </is>
      </c>
      <c r="H104" s="10" t="inlineStr">
        <is>
          <t>1. Buy 1 lot of a NIFTY option at market
2. Read the SL and Tgt chips on the new position</t>
        </is>
      </c>
      <c r="I104" s="10" t="inlineStr">
        <is>
          <t>Entry ~100, SL 20 pts, Target 40 pts</t>
        </is>
      </c>
      <c r="J104" s="10" t="inlineStr">
        <is>
          <t>SL = entry - 20 and Target = entry + 40 (e.g. entry 100 -&gt; SL 80.00, Tgt 140.00).</t>
        </is>
      </c>
      <c r="K104" s="10" t="inlineStr"/>
      <c r="L104" s="11" t="inlineStr">
        <is>
          <t>Not Run</t>
        </is>
      </c>
      <c r="M104" s="9" t="inlineStr"/>
      <c r="N104" s="9" t="inlineStr"/>
      <c r="O104" s="9" t="inlineStr"/>
      <c r="P104" s="10" t="inlineStr"/>
    </row>
    <row r="105">
      <c r="A105" s="12" t="inlineStr">
        <is>
          <t>TC-RSK-302</t>
        </is>
      </c>
      <c r="B105" s="13" t="inlineStr">
        <is>
          <t>Risk Rules</t>
        </is>
      </c>
      <c r="C105" s="13" t="inlineStr">
        <is>
          <t>SL / Target</t>
        </is>
      </c>
      <c r="D105" s="14" t="inlineStr">
        <is>
          <t>A new SELL mirrors the rule (SL above, Target below)</t>
        </is>
      </c>
      <c r="E105" s="13" t="inlineStr">
        <is>
          <t>P1 - Critical</t>
        </is>
      </c>
      <c r="F105" s="13" t="inlineStr">
        <is>
          <t>Data / Calculation</t>
        </is>
      </c>
      <c r="G105" s="14" t="inlineStr">
        <is>
          <t>Same as TC-RSK-301.</t>
        </is>
      </c>
      <c r="H105" s="14" t="inlineStr">
        <is>
          <t>1. Sell 1 lot of a NIFTY option at market
2. Read SL and Tgt</t>
        </is>
      </c>
      <c r="I105" s="14" t="inlineStr">
        <is>
          <t>Entry ~100, SL 20 pts, Target 40 pts</t>
        </is>
      </c>
      <c r="J105" s="14" t="inlineStr">
        <is>
          <t>SL = entry + 20 and Target = entry - 40 (e.g. entry 100 -&gt; SL 120.00, Tgt 60.00).</t>
        </is>
      </c>
      <c r="K105" s="14" t="inlineStr"/>
      <c r="L105" s="15" t="inlineStr">
        <is>
          <t>Not Run</t>
        </is>
      </c>
      <c r="M105" s="13" t="inlineStr"/>
      <c r="N105" s="13" t="inlineStr"/>
      <c r="O105" s="13" t="inlineStr"/>
      <c r="P105" s="14" t="inlineStr"/>
    </row>
    <row r="106">
      <c r="A106" s="8" t="inlineStr">
        <is>
          <t>TC-RSK-303</t>
        </is>
      </c>
      <c r="B106" s="9" t="inlineStr">
        <is>
          <t>Risk Rules</t>
        </is>
      </c>
      <c r="C106" s="9" t="inlineStr">
        <is>
          <t>Percent mode</t>
        </is>
      </c>
      <c r="D106" s="10" t="inlineStr">
        <is>
          <t>Percentage mode computes SL / Target off the entry premium</t>
        </is>
      </c>
      <c r="E106" s="9" t="inlineStr">
        <is>
          <t>P1 - Critical</t>
        </is>
      </c>
      <c r="F106" s="9" t="inlineStr">
        <is>
          <t>Data / Calculation</t>
        </is>
      </c>
      <c r="G106" s="10" t="inlineStr">
        <is>
          <t>Settings: SL mode Percentage 25, Target mode Percentage 50.</t>
        </is>
      </c>
      <c r="H106" s="10" t="inlineStr">
        <is>
          <t>1. Buy an option at about 200
2. Read SL and Tgt</t>
        </is>
      </c>
      <c r="I106" s="10" t="inlineStr">
        <is>
          <t>Entry 200, SL 25%, Target 50%</t>
        </is>
      </c>
      <c r="J106" s="10" t="inlineStr">
        <is>
          <t>SL = 150.00 and Target = 300.00.</t>
        </is>
      </c>
      <c r="K106" s="10" t="inlineStr"/>
      <c r="L106" s="11" t="inlineStr">
        <is>
          <t>Not Run</t>
        </is>
      </c>
      <c r="M106" s="9" t="inlineStr"/>
      <c r="N106" s="9" t="inlineStr"/>
      <c r="O106" s="9" t="inlineStr"/>
      <c r="P106" s="10" t="inlineStr"/>
    </row>
    <row r="107">
      <c r="A107" s="12" t="inlineStr">
        <is>
          <t>TC-RSK-304</t>
        </is>
      </c>
      <c r="B107" s="13" t="inlineStr">
        <is>
          <t>Risk Rules</t>
        </is>
      </c>
      <c r="C107" s="13" t="inlineStr">
        <is>
          <t>Disabled legs</t>
        </is>
      </c>
      <c r="D107" s="14" t="inlineStr">
        <is>
          <t>Turning Stop Loss off means new trades carry no SL</t>
        </is>
      </c>
      <c r="E107" s="13" t="inlineStr">
        <is>
          <t>P1 - Critical</t>
        </is>
      </c>
      <c r="F107" s="13" t="inlineStr">
        <is>
          <t>Functional</t>
        </is>
      </c>
      <c r="G107" s="14" t="inlineStr">
        <is>
          <t>Settings &gt; Trade Defaults with Stop Loss unticked, saved.</t>
        </is>
      </c>
      <c r="H107" s="14" t="inlineStr">
        <is>
          <t>1. Open a new position
2. Read the row</t>
        </is>
      </c>
      <c r="I107" s="14" t="inlineStr">
        <is>
          <t>-</t>
        </is>
      </c>
      <c r="J107" s="14" t="inlineStr">
        <is>
          <t>The position shows no SL value (a dash), and it is never auto-closed by a stop.</t>
        </is>
      </c>
      <c r="K107" s="14" t="inlineStr"/>
      <c r="L107" s="15" t="inlineStr">
        <is>
          <t>Not Run</t>
        </is>
      </c>
      <c r="M107" s="13" t="inlineStr"/>
      <c r="N107" s="13" t="inlineStr"/>
      <c r="O107" s="13" t="inlineStr"/>
      <c r="P107" s="14" t="inlineStr"/>
    </row>
    <row r="108">
      <c r="A108" s="8" t="inlineStr">
        <is>
          <t>TC-RSK-305</t>
        </is>
      </c>
      <c r="B108" s="9" t="inlineStr">
        <is>
          <t>Risk Rules</t>
        </is>
      </c>
      <c r="C108" s="9" t="inlineStr">
        <is>
          <t>Snapshot</t>
        </is>
      </c>
      <c r="D108" s="10" t="inlineStr">
        <is>
          <t>Changing Settings does NOT alter positions already open</t>
        </is>
      </c>
      <c r="E108" s="9" t="inlineStr">
        <is>
          <t>P1 - Critical</t>
        </is>
      </c>
      <c r="F108" s="9" t="inlineStr">
        <is>
          <t>Data / Calculation</t>
        </is>
      </c>
      <c r="G108" s="10" t="inlineStr">
        <is>
          <t>One open position created with SL 20 points.</t>
        </is>
      </c>
      <c r="H108" s="10" t="inlineStr">
        <is>
          <t>1. Note the open position's SL
2. Go to Settings, change NIFTY SL to 50 and save
3. Return to Positions</t>
        </is>
      </c>
      <c r="I108" s="10" t="inlineStr">
        <is>
          <t>SL 20 -&gt; 50</t>
        </is>
      </c>
      <c r="J108" s="10" t="inlineStr">
        <is>
          <t>The existing position keeps its original SL; only positions opened AFTER the change use 50.</t>
        </is>
      </c>
      <c r="K108" s="10" t="inlineStr"/>
      <c r="L108" s="11" t="inlineStr">
        <is>
          <t>Not Run</t>
        </is>
      </c>
      <c r="M108" s="9" t="inlineStr"/>
      <c r="N108" s="9" t="inlineStr"/>
      <c r="O108" s="9" t="inlineStr"/>
      <c r="P108" s="10" t="inlineStr"/>
    </row>
    <row r="109">
      <c r="A109" s="12" t="inlineStr">
        <is>
          <t>TC-RSK-306</t>
        </is>
      </c>
      <c r="B109" s="13" t="inlineStr">
        <is>
          <t>Risk Rules</t>
        </is>
      </c>
      <c r="C109" s="13" t="inlineStr">
        <is>
          <t>Auto exit</t>
        </is>
      </c>
      <c r="D109" s="14" t="inlineStr">
        <is>
          <t>A long position is closed automatically when the SL is hit</t>
        </is>
      </c>
      <c r="E109" s="13" t="inlineStr">
        <is>
          <t>P1 - Critical</t>
        </is>
      </c>
      <c r="F109" s="13" t="inlineStr">
        <is>
          <t>Integration</t>
        </is>
      </c>
      <c r="G109" s="14" t="inlineStr">
        <is>
          <t>Trading mode badge shows 'Paper'. Market is open and a broker is connected. An open BUY position whose SL is close to the market.</t>
        </is>
      </c>
      <c r="H109" s="14" t="inlineStr">
        <is>
          <t>1. Set the SL just above the current LTP so it triggers
2. Wait for the next tick</t>
        </is>
      </c>
      <c r="I109" s="14" t="inlineStr">
        <is>
          <t>-</t>
        </is>
      </c>
      <c r="J109" s="14" t="inlineStr">
        <is>
          <t>The position closes automatically, shows an exit price and is tagged 'SL Hit'.</t>
        </is>
      </c>
      <c r="K109" s="14" t="inlineStr"/>
      <c r="L109" s="15" t="inlineStr">
        <is>
          <t>Not Run</t>
        </is>
      </c>
      <c r="M109" s="13" t="inlineStr"/>
      <c r="N109" s="13" t="inlineStr"/>
      <c r="O109" s="13" t="inlineStr"/>
      <c r="P109" s="14" t="inlineStr"/>
    </row>
    <row r="110">
      <c r="A110" s="8" t="inlineStr">
        <is>
          <t>TC-RSK-307</t>
        </is>
      </c>
      <c r="B110" s="9" t="inlineStr">
        <is>
          <t>Risk Rules</t>
        </is>
      </c>
      <c r="C110" s="9" t="inlineStr">
        <is>
          <t>Auto exit</t>
        </is>
      </c>
      <c r="D110" s="10" t="inlineStr">
        <is>
          <t>A position is closed automatically when the Target is hit</t>
        </is>
      </c>
      <c r="E110" s="9" t="inlineStr">
        <is>
          <t>P1 - Critical</t>
        </is>
      </c>
      <c r="F110" s="9" t="inlineStr">
        <is>
          <t>Integration</t>
        </is>
      </c>
      <c r="G110" s="10" t="inlineStr">
        <is>
          <t>Trading mode badge shows 'Paper'. Market is open and a broker is connected. An open position whose Target is close to the market.</t>
        </is>
      </c>
      <c r="H110" s="10" t="inlineStr">
        <is>
          <t>1. Set the Target just below/above the current LTP so it triggers
2. Wait for the next tick</t>
        </is>
      </c>
      <c r="I110" s="10" t="inlineStr">
        <is>
          <t>-</t>
        </is>
      </c>
      <c r="J110" s="10" t="inlineStr">
        <is>
          <t>The position closes automatically and is tagged 'Target Hit'.</t>
        </is>
      </c>
      <c r="K110" s="10" t="inlineStr"/>
      <c r="L110" s="11" t="inlineStr">
        <is>
          <t>Not Run</t>
        </is>
      </c>
      <c r="M110" s="9" t="inlineStr"/>
      <c r="N110" s="9" t="inlineStr"/>
      <c r="O110" s="9" t="inlineStr"/>
      <c r="P110" s="10" t="inlineStr"/>
    </row>
    <row r="111">
      <c r="A111" s="12" t="inlineStr">
        <is>
          <t>TC-RSK-308</t>
        </is>
      </c>
      <c r="B111" s="13" t="inlineStr">
        <is>
          <t>Risk Rules</t>
        </is>
      </c>
      <c r="C111" s="13" t="inlineStr">
        <is>
          <t>Trail SL</t>
        </is>
      </c>
      <c r="D111" s="14" t="inlineStr">
        <is>
          <t>Point-based trailing moves the stop as the premium moves in favour</t>
        </is>
      </c>
      <c r="E111" s="13" t="inlineStr">
        <is>
          <t>P1 - Critical</t>
        </is>
      </c>
      <c r="F111" s="13" t="inlineStr">
        <is>
          <t>Data / Calculation</t>
        </is>
      </c>
      <c r="G111" s="14" t="inlineStr">
        <is>
          <t>Trail SL enabled, Point Based, Trail After 10, Trail Step 10; a BUY at ~100 with SL 80.</t>
        </is>
      </c>
      <c r="H111" s="14" t="inlineStr">
        <is>
          <t>1. Watch the SL chip as the premium rises to 110, then 120, then 130</t>
        </is>
      </c>
      <c r="I111" s="14" t="inlineStr">
        <is>
          <t>After 10 / Step 10</t>
        </is>
      </c>
      <c r="J111" s="14" t="inlineStr">
        <is>
          <t>SL steps up to 90, then 100, then 110 - one step per 10 points of favourable movement.</t>
        </is>
      </c>
      <c r="K111" s="14" t="inlineStr"/>
      <c r="L111" s="15" t="inlineStr">
        <is>
          <t>Not Run</t>
        </is>
      </c>
      <c r="M111" s="13" t="inlineStr"/>
      <c r="N111" s="13" t="inlineStr"/>
      <c r="O111" s="13" t="inlineStr"/>
      <c r="P111" s="14" t="inlineStr"/>
    </row>
    <row r="112">
      <c r="A112" s="8" t="inlineStr">
        <is>
          <t>TC-RSK-309</t>
        </is>
      </c>
      <c r="B112" s="9" t="inlineStr">
        <is>
          <t>Risk Rules</t>
        </is>
      </c>
      <c r="C112" s="9" t="inlineStr">
        <is>
          <t>Trail SL</t>
        </is>
      </c>
      <c r="D112" s="10" t="inlineStr">
        <is>
          <t>A trailed stop never gives ground back on a pullback</t>
        </is>
      </c>
      <c r="E112" s="9" t="inlineStr">
        <is>
          <t>P1 - Critical</t>
        </is>
      </c>
      <c r="F112" s="9" t="inlineStr">
        <is>
          <t>Data / Calculation</t>
        </is>
      </c>
      <c r="G112" s="10" t="inlineStr">
        <is>
          <t>As TC-RSK-308, with the SL already trailed up to 110.</t>
        </is>
      </c>
      <c r="H112" s="10" t="inlineStr">
        <is>
          <t>1. Let the premium fall back from 130 to 120
2. Read the SL</t>
        </is>
      </c>
      <c r="I112" s="10" t="inlineStr">
        <is>
          <t>-</t>
        </is>
      </c>
      <c r="J112" s="10" t="inlineStr">
        <is>
          <t>The SL stays at 110; it only ever tightens.</t>
        </is>
      </c>
      <c r="K112" s="10" t="inlineStr"/>
      <c r="L112" s="11" t="inlineStr">
        <is>
          <t>Not Run</t>
        </is>
      </c>
      <c r="M112" s="9" t="inlineStr"/>
      <c r="N112" s="9" t="inlineStr"/>
      <c r="O112" s="9" t="inlineStr"/>
      <c r="P112" s="10" t="inlineStr"/>
    </row>
    <row r="113">
      <c r="A113" s="12" t="inlineStr">
        <is>
          <t>TC-RSK-310</t>
        </is>
      </c>
      <c r="B113" s="13" t="inlineStr">
        <is>
          <t>Risk Rules</t>
        </is>
      </c>
      <c r="C113" s="13" t="inlineStr">
        <is>
          <t>Trail SL</t>
        </is>
      </c>
      <c r="D113" s="14" t="inlineStr">
        <is>
          <t>Profit-based trailing arms at Start Trail and locks one step behind</t>
        </is>
      </c>
      <c r="E113" s="13" t="inlineStr">
        <is>
          <t>P2 - High</t>
        </is>
      </c>
      <c r="F113" s="13" t="inlineStr">
        <is>
          <t>Data / Calculation</t>
        </is>
      </c>
      <c r="G113" s="14" t="inlineStr">
        <is>
          <t>Trail SL enabled, Profit Based, Start Trail 5000, Trail Step 1000.</t>
        </is>
      </c>
      <c r="H113" s="14" t="inlineStr">
        <is>
          <t>1. Let a position's profit reach 5,000
2. Read the SL implied profit
3. Let profit reach 8,000 and read again</t>
        </is>
      </c>
      <c r="I113" s="14" t="inlineStr">
        <is>
          <t>Start 5000 / Step 1000</t>
        </is>
      </c>
      <c r="J113" s="14" t="inlineStr">
        <is>
          <t>At 5,000 profit the stop locks in 4,000; at 8,000 it locks in 7,000.</t>
        </is>
      </c>
      <c r="K113" s="14" t="inlineStr"/>
      <c r="L113" s="15" t="inlineStr">
        <is>
          <t>Not Run</t>
        </is>
      </c>
      <c r="M113" s="13" t="inlineStr"/>
      <c r="N113" s="13" t="inlineStr"/>
      <c r="O113" s="13" t="inlineStr"/>
      <c r="P113" s="14" t="inlineStr"/>
    </row>
    <row r="114">
      <c r="A114" s="8" t="inlineStr">
        <is>
          <t>TC-RSK-311</t>
        </is>
      </c>
      <c r="B114" s="9" t="inlineStr">
        <is>
          <t>Risk Rules</t>
        </is>
      </c>
      <c r="C114" s="9" t="inlineStr">
        <is>
          <t>Trail SL</t>
        </is>
      </c>
      <c r="D114" s="10" t="inlineStr">
        <is>
          <t>Trail SL cannot be enabled without Stop Loss</t>
        </is>
      </c>
      <c r="E114" s="9" t="inlineStr">
        <is>
          <t>P1 - Critical</t>
        </is>
      </c>
      <c r="F114" s="9" t="inlineStr">
        <is>
          <t>Negative</t>
        </is>
      </c>
      <c r="G114" s="10" t="inlineStr">
        <is>
          <t>Charticks is open on the Settings screen.</t>
        </is>
      </c>
      <c r="H114" s="10" t="inlineStr">
        <is>
          <t>1. Untick Stop Loss in Trade Defaults
2. Try to tick Trail SL</t>
        </is>
      </c>
      <c r="I114" s="10" t="inlineStr">
        <is>
          <t>-</t>
        </is>
      </c>
      <c r="J114" s="10" t="inlineStr">
        <is>
          <t>Trail SL is locked and labelled 'Requires Stop Loss'; clicking it shows 'Trail SL requires Stop Loss to be enabled.' and it stays unticked.</t>
        </is>
      </c>
      <c r="K114" s="10" t="inlineStr"/>
      <c r="L114" s="11" t="inlineStr">
        <is>
          <t>Not Run</t>
        </is>
      </c>
      <c r="M114" s="9" t="inlineStr"/>
      <c r="N114" s="9" t="inlineStr"/>
      <c r="O114" s="9" t="inlineStr"/>
      <c r="P114" s="10" t="inlineStr"/>
    </row>
    <row r="115">
      <c r="A115" s="12" t="inlineStr">
        <is>
          <t>TC-RSK-312</t>
        </is>
      </c>
      <c r="B115" s="13" t="inlineStr">
        <is>
          <t>Risk Rules</t>
        </is>
      </c>
      <c r="C115" s="13" t="inlineStr">
        <is>
          <t>Trail SL</t>
        </is>
      </c>
      <c r="D115" s="14" t="inlineStr">
        <is>
          <t>Turning Stop Loss off also switches Trail SL off</t>
        </is>
      </c>
      <c r="E115" s="13" t="inlineStr">
        <is>
          <t>P2 - High</t>
        </is>
      </c>
      <c r="F115" s="13" t="inlineStr">
        <is>
          <t>Functional</t>
        </is>
      </c>
      <c r="G115" s="14" t="inlineStr">
        <is>
          <t>Charticks is open on the Settings screen.</t>
        </is>
      </c>
      <c r="H115" s="14" t="inlineStr">
        <is>
          <t>1. Enable both Stop Loss and Trail SL
2. Untick Stop Loss
3. Look at Trail SL</t>
        </is>
      </c>
      <c r="I115" s="14" t="inlineStr">
        <is>
          <t>-</t>
        </is>
      </c>
      <c r="J115" s="14" t="inlineStr">
        <is>
          <t>Trail SL is unticked automatically - a trail with no stop is never left armed.</t>
        </is>
      </c>
      <c r="K115" s="14" t="inlineStr"/>
      <c r="L115" s="15" t="inlineStr">
        <is>
          <t>Not Run</t>
        </is>
      </c>
      <c r="M115" s="13" t="inlineStr"/>
      <c r="N115" s="13" t="inlineStr"/>
      <c r="O115" s="13" t="inlineStr"/>
      <c r="P115" s="14" t="inlineStr"/>
    </row>
    <row r="116">
      <c r="A116" s="8" t="inlineStr">
        <is>
          <t>TC-RSK-313</t>
        </is>
      </c>
      <c r="B116" s="9" t="inlineStr">
        <is>
          <t>Risk Rules</t>
        </is>
      </c>
      <c r="C116" s="9" t="inlineStr">
        <is>
          <t>Trail SL</t>
        </is>
      </c>
      <c r="D116" s="10" t="inlineStr">
        <is>
          <t>Editing a position's SL re-bases its trailing</t>
        </is>
      </c>
      <c r="E116" s="9" t="inlineStr">
        <is>
          <t>P2 - High</t>
        </is>
      </c>
      <c r="F116" s="9" t="inlineStr">
        <is>
          <t>Data / Calculation</t>
        </is>
      </c>
      <c r="G116" s="10" t="inlineStr">
        <is>
          <t>Trading mode badge shows 'Paper'. Market is open and a broker is connected. An open position with point-based trailing.</t>
        </is>
      </c>
      <c r="H116" s="10" t="inlineStr">
        <is>
          <t>1. Manually edit the SL to a new value
2. Let the premium rise by one 'Trail After' step
3. Read the SL</t>
        </is>
      </c>
      <c r="I116" s="10" t="inlineStr">
        <is>
          <t>-</t>
        </is>
      </c>
      <c r="J116" s="10" t="inlineStr">
        <is>
          <t>The next trail step is measured from the SL you typed, not from the original stop - your edit is not undone.</t>
        </is>
      </c>
      <c r="K116" s="10" t="inlineStr"/>
      <c r="L116" s="11" t="inlineStr">
        <is>
          <t>Not Run</t>
        </is>
      </c>
      <c r="M116" s="9" t="inlineStr"/>
      <c r="N116" s="9" t="inlineStr"/>
      <c r="O116" s="9" t="inlineStr"/>
      <c r="P116" s="10" t="inlineStr"/>
    </row>
    <row r="117">
      <c r="A117" s="12" t="inlineStr">
        <is>
          <t>TC-RSK-314</t>
        </is>
      </c>
      <c r="B117" s="13" t="inlineStr">
        <is>
          <t>Risk Rules</t>
        </is>
      </c>
      <c r="C117" s="13" t="inlineStr">
        <is>
          <t>Trail SL</t>
        </is>
      </c>
      <c r="D117" s="14" t="inlineStr">
        <is>
          <t>Each position keeps its own trail settings</t>
        </is>
      </c>
      <c r="E117" s="13" t="inlineStr">
        <is>
          <t>P2 - High</t>
        </is>
      </c>
      <c r="F117" s="13" t="inlineStr">
        <is>
          <t>Data / Calculation</t>
        </is>
      </c>
      <c r="G117" s="14" t="inlineStr">
        <is>
          <t>Two positions opened under different Trail settings.</t>
        </is>
      </c>
      <c r="H117" s="14" t="inlineStr">
        <is>
          <t>1. Change Trail settings in Settings between opening the two positions
2. Compare the After/Step chips on both rows</t>
        </is>
      </c>
      <c r="I117" s="14" t="inlineStr">
        <is>
          <t>-</t>
        </is>
      </c>
      <c r="J117" s="14" t="inlineStr">
        <is>
          <t>Each row shows the values captured when THAT trade was opened.</t>
        </is>
      </c>
      <c r="K117" s="14" t="inlineStr"/>
      <c r="L117" s="15" t="inlineStr">
        <is>
          <t>Not Run</t>
        </is>
      </c>
      <c r="M117" s="13" t="inlineStr"/>
      <c r="N117" s="13" t="inlineStr"/>
      <c r="O117" s="13" t="inlineStr"/>
      <c r="P117" s="14" t="inlineStr"/>
    </row>
    <row r="118">
      <c r="A118" s="8" t="inlineStr">
        <is>
          <t>TC-PTL-301</t>
        </is>
      </c>
      <c r="B118" s="9" t="inlineStr">
        <is>
          <t>Portfolio Trail</t>
        </is>
      </c>
      <c r="C118" s="9" t="inlineStr">
        <is>
          <t>Config</t>
        </is>
      </c>
      <c r="D118" s="10" t="inlineStr">
        <is>
          <t>Portfolio Trail Profit can be configured from the Positions header</t>
        </is>
      </c>
      <c r="E118" s="9" t="inlineStr">
        <is>
          <t>P2 - High</t>
        </is>
      </c>
      <c r="F118" s="9" t="inlineStr">
        <is>
          <t>Functional</t>
        </is>
      </c>
      <c r="G118" s="10" t="inlineStr">
        <is>
          <t>Charticks is installed and open; sidecar (engine) is running.</t>
        </is>
      </c>
      <c r="H118" s="10" t="inlineStr">
        <is>
          <t>1. Click the pencil on the 'Portfolio TP' chip
2. Tick Trail Profit
3. Set Activate After 10000 and Trail Distance 3000
4. Save</t>
        </is>
      </c>
      <c r="I118" s="10" t="inlineStr">
        <is>
          <t>Activate 10,000 / Distance 3,000</t>
        </is>
      </c>
      <c r="J118" s="10" t="inlineStr">
        <is>
          <t>The chip changes from 'OFF' to a summary like '10K -&gt; 3K' and the same values appear in Settings &gt; Portfolio Trail Profit.</t>
        </is>
      </c>
      <c r="K118" s="10" t="inlineStr"/>
      <c r="L118" s="11" t="inlineStr">
        <is>
          <t>Not Run</t>
        </is>
      </c>
      <c r="M118" s="9" t="inlineStr"/>
      <c r="N118" s="9" t="inlineStr"/>
      <c r="O118" s="9" t="inlineStr"/>
      <c r="P118" s="10" t="inlineStr"/>
    </row>
    <row r="119">
      <c r="A119" s="12" t="inlineStr">
        <is>
          <t>TC-PTL-302</t>
        </is>
      </c>
      <c r="B119" s="13" t="inlineStr">
        <is>
          <t>Portfolio Trail</t>
        </is>
      </c>
      <c r="C119" s="13" t="inlineStr">
        <is>
          <t>Arming</t>
        </is>
      </c>
      <c r="D119" s="14" t="inlineStr">
        <is>
          <t>Nothing happens until combined profit reaches Activate After</t>
        </is>
      </c>
      <c r="E119" s="13" t="inlineStr">
        <is>
          <t>P1 - Critical</t>
        </is>
      </c>
      <c r="F119" s="13" t="inlineStr">
        <is>
          <t>Data / Calculation</t>
        </is>
      </c>
      <c r="G119" s="14" t="inlineStr">
        <is>
          <t>Trading mode badge shows 'Paper'. Market is open and a broker is connected. Portfolio Trail on: Activate 10,000, Distance 3,000. Open positions with combined profit below 10,000.</t>
        </is>
      </c>
      <c r="H119" s="14" t="inlineStr">
        <is>
          <t>1. Let combined profit rise to ~6,000 then fall back to 1,000</t>
        </is>
      </c>
      <c r="I119" s="14" t="inlineStr">
        <is>
          <t>-</t>
        </is>
      </c>
      <c r="J119" s="14" t="inlineStr">
        <is>
          <t>No positions are squared off - the feature never armed.</t>
        </is>
      </c>
      <c r="K119" s="14" t="inlineStr"/>
      <c r="L119" s="15" t="inlineStr">
        <is>
          <t>Not Run</t>
        </is>
      </c>
      <c r="M119" s="13" t="inlineStr"/>
      <c r="N119" s="13" t="inlineStr"/>
      <c r="O119" s="13" t="inlineStr"/>
      <c r="P119" s="14" t="inlineStr"/>
    </row>
    <row r="120">
      <c r="A120" s="8" t="inlineStr">
        <is>
          <t>TC-PTL-303</t>
        </is>
      </c>
      <c r="B120" s="9" t="inlineStr">
        <is>
          <t>Portfolio Trail</t>
        </is>
      </c>
      <c r="C120" s="9" t="inlineStr">
        <is>
          <t>Trigger</t>
        </is>
      </c>
      <c r="D120" s="10" t="inlineStr">
        <is>
          <t>Once armed, a give-back of Trail Distance squares off the whole book</t>
        </is>
      </c>
      <c r="E120" s="9" t="inlineStr">
        <is>
          <t>P1 - Critical</t>
        </is>
      </c>
      <c r="F120" s="9" t="inlineStr">
        <is>
          <t>Data / Calculation</t>
        </is>
      </c>
      <c r="G120" s="10" t="inlineStr">
        <is>
          <t>Trading mode badge shows 'Paper'. Market is open and a broker is connected. Portfolio Trail on: Activate 10,000, Distance 3,000.</t>
        </is>
      </c>
      <c r="H120" s="10" t="inlineStr">
        <is>
          <t>1. Let combined open profit peak above 10,000 (say 12,000)
2. Let it fall back to 9,000</t>
        </is>
      </c>
      <c r="I120" s="10" t="inlineStr">
        <is>
          <t>Peak 12,000, give-back 3,000</t>
        </is>
      </c>
      <c r="J120" s="10" t="inlineStr">
        <is>
          <t>Every open position is closed at once when the give-back reaches 3,000 from the peak.</t>
        </is>
      </c>
      <c r="K120" s="10" t="inlineStr"/>
      <c r="L120" s="11" t="inlineStr">
        <is>
          <t>Not Run</t>
        </is>
      </c>
      <c r="M120" s="9" t="inlineStr"/>
      <c r="N120" s="9" t="inlineStr"/>
      <c r="O120" s="9" t="inlineStr"/>
      <c r="P120" s="10" t="inlineStr"/>
    </row>
    <row r="121">
      <c r="A121" s="12" t="inlineStr">
        <is>
          <t>TC-PTL-304</t>
        </is>
      </c>
      <c r="B121" s="13" t="inlineStr">
        <is>
          <t>Portfolio Trail</t>
        </is>
      </c>
      <c r="C121" s="13" t="inlineStr">
        <is>
          <t>Scope</t>
        </is>
      </c>
      <c r="D121" s="14" t="inlineStr">
        <is>
          <t>Portfolio Trail is a single global rule, not per position</t>
        </is>
      </c>
      <c r="E121" s="13" t="inlineStr">
        <is>
          <t>P2 - High</t>
        </is>
      </c>
      <c r="F121" s="13" t="inlineStr">
        <is>
          <t>UI / UX</t>
        </is>
      </c>
      <c r="G121" s="14" t="inlineStr">
        <is>
          <t>Charticks is installed and open; sidecar (engine) is running.</t>
        </is>
      </c>
      <c r="H121" s="14" t="inlineStr">
        <is>
          <t>1. Look at the Positions header and each position row</t>
        </is>
      </c>
      <c r="I121" s="14" t="inlineStr">
        <is>
          <t>-</t>
        </is>
      </c>
      <c r="J121" s="14" t="inlineStr">
        <is>
          <t>The Portfolio TP chip appears once in the header; no per-row portfolio-trail control exists.</t>
        </is>
      </c>
      <c r="K121" s="14" t="inlineStr"/>
      <c r="L121" s="15" t="inlineStr">
        <is>
          <t>Not Run</t>
        </is>
      </c>
      <c r="M121" s="13" t="inlineStr"/>
      <c r="N121" s="13" t="inlineStr"/>
      <c r="O121" s="13" t="inlineStr"/>
      <c r="P121" s="14" t="inlineStr"/>
    </row>
    <row r="122">
      <c r="A122" s="8" t="inlineStr">
        <is>
          <t>TC-PTL-305</t>
        </is>
      </c>
      <c r="B122" s="9" t="inlineStr">
        <is>
          <t>Portfolio Trail</t>
        </is>
      </c>
      <c r="C122" s="9" t="inlineStr">
        <is>
          <t>Reconfigure</t>
        </is>
      </c>
      <c r="D122" s="10" t="inlineStr">
        <is>
          <t>Changing the config re-arms from the current peak</t>
        </is>
      </c>
      <c r="E122" s="9" t="inlineStr">
        <is>
          <t>P3 - Medium</t>
        </is>
      </c>
      <c r="F122" s="9" t="inlineStr">
        <is>
          <t>Data / Calculation</t>
        </is>
      </c>
      <c r="G122" s="10" t="inlineStr">
        <is>
          <t>Trading mode badge shows 'Paper'. Market is open and a broker is connected. Portfolio Trail armed with an existing peak.</t>
        </is>
      </c>
      <c r="H122" s="10" t="inlineStr">
        <is>
          <t>1. Change Activate After or Trail Distance and save
2. Observe behaviour</t>
        </is>
      </c>
      <c r="I122" s="10" t="inlineStr">
        <is>
          <t>-</t>
        </is>
      </c>
      <c r="J122" s="10" t="inlineStr">
        <is>
          <t>The feature restarts from the current state instead of acting on the old peak.</t>
        </is>
      </c>
      <c r="K122" s="10" t="inlineStr"/>
      <c r="L122" s="11" t="inlineStr">
        <is>
          <t>Not Run</t>
        </is>
      </c>
      <c r="M122" s="9" t="inlineStr"/>
      <c r="N122" s="9" t="inlineStr"/>
      <c r="O122" s="9" t="inlineStr"/>
      <c r="P122" s="10" t="inlineStr"/>
    </row>
    <row r="123">
      <c r="A123" s="12" t="inlineStr">
        <is>
          <t>TC-SES-301</t>
        </is>
      </c>
      <c r="B123" s="13" t="inlineStr">
        <is>
          <t>Session Limits</t>
        </is>
      </c>
      <c r="C123" s="13" t="inlineStr">
        <is>
          <t>Toggle</t>
        </is>
      </c>
      <c r="D123" s="14" t="inlineStr">
        <is>
          <t>Session Limits can be switched on and the values edited inline</t>
        </is>
      </c>
      <c r="E123" s="13" t="inlineStr">
        <is>
          <t>P1 - Critical</t>
        </is>
      </c>
      <c r="F123" s="13" t="inlineStr">
        <is>
          <t>Functional</t>
        </is>
      </c>
      <c r="G123" s="14" t="inlineStr">
        <is>
          <t>Charticks is installed and open; sidecar (engine) is running.</t>
        </is>
      </c>
      <c r="H123" s="14" t="inlineStr">
        <is>
          <t>1. Tick 'Session Limits' on the Positions bar
2. Click the pencil on Max Loss
3. Enter 5000
4. Confirm</t>
        </is>
      </c>
      <c r="I123" s="14" t="inlineStr">
        <is>
          <t>Max Loss 5,000</t>
        </is>
      </c>
      <c r="J123" s="14" t="inlineStr">
        <is>
          <t>The bar shows the configured values and the setting survives an app restart.</t>
        </is>
      </c>
      <c r="K123" s="14" t="inlineStr"/>
      <c r="L123" s="15" t="inlineStr">
        <is>
          <t>Not Run</t>
        </is>
      </c>
      <c r="M123" s="13" t="inlineStr"/>
      <c r="N123" s="13" t="inlineStr"/>
      <c r="O123" s="13" t="inlineStr"/>
      <c r="P123" s="14" t="inlineStr"/>
    </row>
    <row r="124">
      <c r="A124" s="8" t="inlineStr">
        <is>
          <t>TC-SES-302</t>
        </is>
      </c>
      <c r="B124" s="9" t="inlineStr">
        <is>
          <t>Session Limits</t>
        </is>
      </c>
      <c r="C124" s="9" t="inlineStr">
        <is>
          <t>Max positions</t>
        </is>
      </c>
      <c r="D124" s="10" t="inlineStr">
        <is>
          <t>New entries are blocked once Max Positions is reached</t>
        </is>
      </c>
      <c r="E124" s="9" t="inlineStr">
        <is>
          <t>P1 - Critical</t>
        </is>
      </c>
      <c r="F124" s="9" t="inlineStr">
        <is>
          <t>Negative</t>
        </is>
      </c>
      <c r="G124" s="10" t="inlineStr">
        <is>
          <t>Trading mode badge shows 'Paper'. Market is open and a broker is connected. Session Limits ON with Max Pos = 2.</t>
        </is>
      </c>
      <c r="H124" s="10" t="inlineStr">
        <is>
          <t>1. Open two positions on different strikes
2. Try to open a third</t>
        </is>
      </c>
      <c r="I124" s="10" t="inlineStr">
        <is>
          <t>Max Pos 2</t>
        </is>
      </c>
      <c r="J124" s="10" t="inlineStr">
        <is>
          <t>The third is refused with 'New entry blocked - Maximum Positions Reached'. Existing positions can still be closed.</t>
        </is>
      </c>
      <c r="K124" s="10" t="inlineStr"/>
      <c r="L124" s="11" t="inlineStr">
        <is>
          <t>Not Run</t>
        </is>
      </c>
      <c r="M124" s="9" t="inlineStr"/>
      <c r="N124" s="9" t="inlineStr"/>
      <c r="O124" s="9" t="inlineStr"/>
      <c r="P124" s="10" t="inlineStr"/>
    </row>
    <row r="125">
      <c r="A125" s="12" t="inlineStr">
        <is>
          <t>TC-SES-303</t>
        </is>
      </c>
      <c r="B125" s="13" t="inlineStr">
        <is>
          <t>Session Limits</t>
        </is>
      </c>
      <c r="C125" s="13" t="inlineStr">
        <is>
          <t>Max trades</t>
        </is>
      </c>
      <c r="D125" s="14" t="inlineStr">
        <is>
          <t>New entries are blocked once Max Trades is reached</t>
        </is>
      </c>
      <c r="E125" s="13" t="inlineStr">
        <is>
          <t>P1 - Critical</t>
        </is>
      </c>
      <c r="F125" s="13" t="inlineStr">
        <is>
          <t>Negative</t>
        </is>
      </c>
      <c r="G125" s="14" t="inlineStr">
        <is>
          <t>Trading mode badge shows 'Paper'. Market is open and a broker is connected. Session Limits ON with Max Trades = 2.</t>
        </is>
      </c>
      <c r="H125" s="14" t="inlineStr">
        <is>
          <t>1. Place two orders
2. Try to place a third</t>
        </is>
      </c>
      <c r="I125" s="14" t="inlineStr">
        <is>
          <t>Max Trades 2</t>
        </is>
      </c>
      <c r="J125" s="14" t="inlineStr">
        <is>
          <t>The third is refused with 'Maximum Trades Reached'.</t>
        </is>
      </c>
      <c r="K125" s="14" t="inlineStr"/>
      <c r="L125" s="15" t="inlineStr">
        <is>
          <t>Not Run</t>
        </is>
      </c>
      <c r="M125" s="13" t="inlineStr"/>
      <c r="N125" s="13" t="inlineStr"/>
      <c r="O125" s="13" t="inlineStr"/>
      <c r="P125" s="14" t="inlineStr"/>
    </row>
    <row r="126">
      <c r="A126" s="8" t="inlineStr">
        <is>
          <t>TC-SES-304</t>
        </is>
      </c>
      <c r="B126" s="9" t="inlineStr">
        <is>
          <t>Session Limits</t>
        </is>
      </c>
      <c r="C126" s="9" t="inlineStr">
        <is>
          <t>Max loss</t>
        </is>
      </c>
      <c r="D126" s="10" t="inlineStr">
        <is>
          <t>Hitting Max Loss locks the session against new entries</t>
        </is>
      </c>
      <c r="E126" s="9" t="inlineStr">
        <is>
          <t>P1 - Critical</t>
        </is>
      </c>
      <c r="F126" s="9" t="inlineStr">
        <is>
          <t>Negative</t>
        </is>
      </c>
      <c r="G126" s="10" t="inlineStr">
        <is>
          <t>Trading mode badge shows 'Paper'. Market is open and a broker is connected. Session Limits ON with Max Loss = 5,000.</t>
        </is>
      </c>
      <c r="H126" s="10" t="inlineStr">
        <is>
          <t>1. Let net P&amp;L fall to -5,000
2. Try to open a new position</t>
        </is>
      </c>
      <c r="I126" s="10" t="inlineStr">
        <is>
          <t>Max Loss 5,000</t>
        </is>
      </c>
      <c r="J126" s="10" t="inlineStr">
        <is>
          <t>The session hard-locks with 'Maximum Loss Reached' and every new entry is refused until reset.</t>
        </is>
      </c>
      <c r="K126" s="10" t="inlineStr"/>
      <c r="L126" s="11" t="inlineStr">
        <is>
          <t>Not Run</t>
        </is>
      </c>
      <c r="M126" s="9" t="inlineStr"/>
      <c r="N126" s="9" t="inlineStr"/>
      <c r="O126" s="9" t="inlineStr"/>
      <c r="P126" s="10" t="inlineStr"/>
    </row>
    <row r="127">
      <c r="A127" s="12" t="inlineStr">
        <is>
          <t>TC-SES-305</t>
        </is>
      </c>
      <c r="B127" s="13" t="inlineStr">
        <is>
          <t>Session Limits</t>
        </is>
      </c>
      <c r="C127" s="13" t="inlineStr">
        <is>
          <t>Profit target</t>
        </is>
      </c>
      <c r="D127" s="14" t="inlineStr">
        <is>
          <t>Hitting the Profit Target locks the session</t>
        </is>
      </c>
      <c r="E127" s="13" t="inlineStr">
        <is>
          <t>P1 - Critical</t>
        </is>
      </c>
      <c r="F127" s="13" t="inlineStr">
        <is>
          <t>Negative</t>
        </is>
      </c>
      <c r="G127" s="14" t="inlineStr">
        <is>
          <t>Trading mode badge shows 'Paper'. Market is open and a broker is connected. Session Limits ON with Profit Target = 10,000.</t>
        </is>
      </c>
      <c r="H127" s="14" t="inlineStr">
        <is>
          <t>1. Let net P&amp;L rise to +10,000
2. Try to open a new position</t>
        </is>
      </c>
      <c r="I127" s="14" t="inlineStr">
        <is>
          <t>Profit Target 10,000</t>
        </is>
      </c>
      <c r="J127" s="14" t="inlineStr">
        <is>
          <t>The session locks with 'Profit Target Achieved' and refuses new entries.</t>
        </is>
      </c>
      <c r="K127" s="14" t="inlineStr"/>
      <c r="L127" s="15" t="inlineStr">
        <is>
          <t>Not Run</t>
        </is>
      </c>
      <c r="M127" s="13" t="inlineStr"/>
      <c r="N127" s="13" t="inlineStr"/>
      <c r="O127" s="13" t="inlineStr"/>
      <c r="P127" s="14" t="inlineStr"/>
    </row>
    <row r="128">
      <c r="A128" s="8" t="inlineStr">
        <is>
          <t>TC-SES-306</t>
        </is>
      </c>
      <c r="B128" s="9" t="inlineStr">
        <is>
          <t>Session Limits</t>
        </is>
      </c>
      <c r="C128" s="9" t="inlineStr">
        <is>
          <t>Reset</t>
        </is>
      </c>
      <c r="D128" s="10" t="inlineStr">
        <is>
          <t>Resetting clears the lock and the counters</t>
        </is>
      </c>
      <c r="E128" s="9" t="inlineStr">
        <is>
          <t>P2 - High</t>
        </is>
      </c>
      <c r="F128" s="9" t="inlineStr">
        <is>
          <t>Functional</t>
        </is>
      </c>
      <c r="G128" s="10" t="inlineStr">
        <is>
          <t>A session that is hard-locked.</t>
        </is>
      </c>
      <c r="H128" s="10" t="inlineStr">
        <is>
          <t>1. Reset the session limits
2. Try to open a position</t>
        </is>
      </c>
      <c r="I128" s="10" t="inlineStr">
        <is>
          <t>-</t>
        </is>
      </c>
      <c r="J128" s="10" t="inlineStr">
        <is>
          <t>Status returns to Active, the trade counter is 0 and entries are allowed again.</t>
        </is>
      </c>
      <c r="K128" s="10" t="inlineStr"/>
      <c r="L128" s="11" t="inlineStr">
        <is>
          <t>Not Run</t>
        </is>
      </c>
      <c r="M128" s="9" t="inlineStr"/>
      <c r="N128" s="9" t="inlineStr"/>
      <c r="O128" s="9" t="inlineStr"/>
      <c r="P128" s="10" t="inlineStr"/>
    </row>
    <row r="129">
      <c r="A129" s="12" t="inlineStr">
        <is>
          <t>TC-SES-307</t>
        </is>
      </c>
      <c r="B129" s="13" t="inlineStr">
        <is>
          <t>Session Limits</t>
        </is>
      </c>
      <c r="C129" s="13" t="inlineStr">
        <is>
          <t>Disabled</t>
        </is>
      </c>
      <c r="D129" s="14" t="inlineStr">
        <is>
          <t>A limit of 0 means that parameter is disabled</t>
        </is>
      </c>
      <c r="E129" s="13" t="inlineStr">
        <is>
          <t>P2 - High</t>
        </is>
      </c>
      <c r="F129" s="13" t="inlineStr">
        <is>
          <t>Functional</t>
        </is>
      </c>
      <c r="G129" s="14" t="inlineStr">
        <is>
          <t>Charticks is installed and open; sidecar (engine) is running.</t>
        </is>
      </c>
      <c r="H129" s="14" t="inlineStr">
        <is>
          <t>1. Set Max Pos, Max Trades, Max Loss and Profit Target all to 0
2. Trade normally</t>
        </is>
      </c>
      <c r="I129" s="14" t="inlineStr">
        <is>
          <t>All zeros</t>
        </is>
      </c>
      <c r="J129" s="14" t="inlineStr">
        <is>
          <t>No limit is ever enforced and no lock occurs.</t>
        </is>
      </c>
      <c r="K129" s="14" t="inlineStr"/>
      <c r="L129" s="15" t="inlineStr">
        <is>
          <t>Not Run</t>
        </is>
      </c>
      <c r="M129" s="13" t="inlineStr"/>
      <c r="N129" s="13" t="inlineStr"/>
      <c r="O129" s="13" t="inlineStr"/>
      <c r="P129" s="14" t="inlineStr"/>
    </row>
    <row r="130">
      <c r="A130" s="8" t="inlineStr">
        <is>
          <t>TC-SES-308</t>
        </is>
      </c>
      <c r="B130" s="9" t="inlineStr">
        <is>
          <t>Session Limits</t>
        </is>
      </c>
      <c r="C130" s="9" t="inlineStr">
        <is>
          <t>Off</t>
        </is>
      </c>
      <c r="D130" s="10" t="inlineStr">
        <is>
          <t>With Session Limits off, nothing is blocked</t>
        </is>
      </c>
      <c r="E130" s="9" t="inlineStr">
        <is>
          <t>P2 - High</t>
        </is>
      </c>
      <c r="F130" s="9" t="inlineStr">
        <is>
          <t>Functional</t>
        </is>
      </c>
      <c r="G130" s="10" t="inlineStr">
        <is>
          <t>Trading mode badge shows 'Paper'. Market is open and a broker is connected.</t>
        </is>
      </c>
      <c r="H130" s="10" t="inlineStr">
        <is>
          <t>1. Untick Session Limits
2. Open more positions than Max Pos would allow</t>
        </is>
      </c>
      <c r="I130" s="10" t="inlineStr">
        <is>
          <t>-</t>
        </is>
      </c>
      <c r="J130" s="10" t="inlineStr">
        <is>
          <t>All entries are accepted.</t>
        </is>
      </c>
      <c r="K130" s="10" t="inlineStr"/>
      <c r="L130" s="11" t="inlineStr">
        <is>
          <t>Not Run</t>
        </is>
      </c>
      <c r="M130" s="9" t="inlineStr"/>
      <c r="N130" s="9" t="inlineStr"/>
      <c r="O130" s="9" t="inlineStr"/>
      <c r="P130" s="10" t="inlineStr"/>
    </row>
    <row r="131">
      <c r="A131" s="12" t="inlineStr">
        <is>
          <t>TC-SES-309</t>
        </is>
      </c>
      <c r="B131" s="13" t="inlineStr">
        <is>
          <t>Session Limits</t>
        </is>
      </c>
      <c r="C131" s="13" t="inlineStr">
        <is>
          <t>Adding lots</t>
        </is>
      </c>
      <c r="D131" s="14" t="inlineStr">
        <is>
          <t>Adding to a strike already held does not consume a position slot</t>
        </is>
      </c>
      <c r="E131" s="13" t="inlineStr">
        <is>
          <t>P2 - High</t>
        </is>
      </c>
      <c r="F131" s="13" t="inlineStr">
        <is>
          <t>Data / Calculation</t>
        </is>
      </c>
      <c r="G131" s="14" t="inlineStr">
        <is>
          <t>Trading mode badge shows 'Paper'. Market is open and a broker is connected. Session Limits ON with Max Pos = 1 and one open position.</t>
        </is>
      </c>
      <c r="H131" s="14" t="inlineStr">
        <is>
          <t>1. Buy MORE lots on the SAME strike and side</t>
        </is>
      </c>
      <c r="I131" s="14" t="inlineStr">
        <is>
          <t>-</t>
        </is>
      </c>
      <c r="J131" s="14" t="inlineStr">
        <is>
          <t>The add is allowed (the open-position count is unchanged) while a NEW strike is refused.</t>
        </is>
      </c>
      <c r="K131" s="14" t="inlineStr"/>
      <c r="L131" s="15" t="inlineStr">
        <is>
          <t>Not Run</t>
        </is>
      </c>
      <c r="M131" s="13" t="inlineStr"/>
      <c r="N131" s="13" t="inlineStr"/>
      <c r="O131" s="13" t="inlineStr"/>
      <c r="P131" s="14" t="inlineStr"/>
    </row>
    <row r="132">
      <c r="A132" s="8" t="inlineStr">
        <is>
          <t>TC-MPS-301</t>
        </is>
      </c>
      <c r="B132" s="9" t="inlineStr">
        <is>
          <t>Max Position</t>
        </is>
      </c>
      <c r="C132" s="9" t="inlineStr">
        <is>
          <t>Ask</t>
        </is>
      </c>
      <c r="D132" s="10" t="inlineStr">
        <is>
          <t>'Ask Me' prompts when an add would exceed the limit</t>
        </is>
      </c>
      <c r="E132" s="9" t="inlineStr">
        <is>
          <t>P2 - High</t>
        </is>
      </c>
      <c r="F132" s="9" t="inlineStr">
        <is>
          <t>Functional</t>
        </is>
      </c>
      <c r="G132" s="10" t="inlineStr">
        <is>
          <t>Settings: Max Positions 5, behaviour Ask (default). 4 lots already held on a strike.</t>
        </is>
      </c>
      <c r="H132" s="10" t="inlineStr">
        <is>
          <t>1. Try to add 3 more lots to that strike</t>
        </is>
      </c>
      <c r="I132" s="10" t="inlineStr">
        <is>
          <t>Limit 5, held 4, requested 3</t>
        </is>
      </c>
      <c r="J132" s="10" t="inlineStr">
        <is>
          <t>A dialog offers to add only the remaining 1 lot, to override once with all 3, or to cancel.</t>
        </is>
      </c>
      <c r="K132" s="10" t="inlineStr"/>
      <c r="L132" s="11" t="inlineStr">
        <is>
          <t>Not Run</t>
        </is>
      </c>
      <c r="M132" s="9" t="inlineStr"/>
      <c r="N132" s="9" t="inlineStr"/>
      <c r="O132" s="9" t="inlineStr"/>
      <c r="P132" s="10" t="inlineStr"/>
    </row>
    <row r="133">
      <c r="A133" s="12" t="inlineStr">
        <is>
          <t>TC-MPS-302</t>
        </is>
      </c>
      <c r="B133" s="13" t="inlineStr">
        <is>
          <t>Max Position</t>
        </is>
      </c>
      <c r="C133" s="13" t="inlineStr">
        <is>
          <t>Auto</t>
        </is>
      </c>
      <c r="D133" s="14" t="inlineStr">
        <is>
          <t>'Auto' silently trims the order to the remaining quantity</t>
        </is>
      </c>
      <c r="E133" s="13" t="inlineStr">
        <is>
          <t>P2 - High</t>
        </is>
      </c>
      <c r="F133" s="13" t="inlineStr">
        <is>
          <t>Functional</t>
        </is>
      </c>
      <c r="G133" s="14" t="inlineStr">
        <is>
          <t>Settings: Max Positions 5, behaviour 'Add remaining quantity'. 4 lots held.</t>
        </is>
      </c>
      <c r="H133" s="14" t="inlineStr">
        <is>
          <t>1. Try to add 3 lots</t>
        </is>
      </c>
      <c r="I133" s="14" t="inlineStr">
        <is>
          <t>-</t>
        </is>
      </c>
      <c r="J133" s="14" t="inlineStr">
        <is>
          <t>Exactly 1 lot is added, with no prompt.</t>
        </is>
      </c>
      <c r="K133" s="14" t="inlineStr"/>
      <c r="L133" s="15" t="inlineStr">
        <is>
          <t>Not Run</t>
        </is>
      </c>
      <c r="M133" s="13" t="inlineStr"/>
      <c r="N133" s="13" t="inlineStr"/>
      <c r="O133" s="13" t="inlineStr"/>
      <c r="P133" s="14" t="inlineStr"/>
    </row>
    <row r="134">
      <c r="A134" s="8" t="inlineStr">
        <is>
          <t>TC-MPS-303</t>
        </is>
      </c>
      <c r="B134" s="9" t="inlineStr">
        <is>
          <t>Max Position</t>
        </is>
      </c>
      <c r="C134" s="9" t="inlineStr">
        <is>
          <t>Block</t>
        </is>
      </c>
      <c r="D134" s="10" t="inlineStr">
        <is>
          <t>'Block' refuses the whole order</t>
        </is>
      </c>
      <c r="E134" s="9" t="inlineStr">
        <is>
          <t>P2 - High</t>
        </is>
      </c>
      <c r="F134" s="9" t="inlineStr">
        <is>
          <t>Negative</t>
        </is>
      </c>
      <c r="G134" s="10" t="inlineStr">
        <is>
          <t>Settings: Max Positions 5, behaviour Block. 4 lots held.</t>
        </is>
      </c>
      <c r="H134" s="10" t="inlineStr">
        <is>
          <t>1. Try to add 3 lots</t>
        </is>
      </c>
      <c r="I134" s="10" t="inlineStr">
        <is>
          <t>-</t>
        </is>
      </c>
      <c r="J134" s="10" t="inlineStr">
        <is>
          <t>Nothing is added and a message explains the Max Position limit was exceeded.</t>
        </is>
      </c>
      <c r="K134" s="10" t="inlineStr"/>
      <c r="L134" s="11" t="inlineStr">
        <is>
          <t>Not Run</t>
        </is>
      </c>
      <c r="M134" s="9" t="inlineStr"/>
      <c r="N134" s="9" t="inlineStr"/>
      <c r="O134" s="9" t="inlineStr"/>
      <c r="P134" s="10" t="inlineStr"/>
    </row>
    <row r="135">
      <c r="A135" s="12" t="inlineStr">
        <is>
          <t>TC-MPS-304</t>
        </is>
      </c>
      <c r="B135" s="13" t="inlineStr">
        <is>
          <t>Max Position</t>
        </is>
      </c>
      <c r="C135" s="13" t="inlineStr">
        <is>
          <t>Override</t>
        </is>
      </c>
      <c r="D135" s="14" t="inlineStr">
        <is>
          <t>'Override' places the full quantity without changing the saved limit</t>
        </is>
      </c>
      <c r="E135" s="13" t="inlineStr">
        <is>
          <t>P3 - Medium</t>
        </is>
      </c>
      <c r="F135" s="13" t="inlineStr">
        <is>
          <t>Functional</t>
        </is>
      </c>
      <c r="G135" s="14" t="inlineStr">
        <is>
          <t>Settings: Max Positions 5, behaviour Override. 4 lots held.</t>
        </is>
      </c>
      <c r="H135" s="14" t="inlineStr">
        <is>
          <t>1. Add 3 lots
2. Re-check Settings &gt; Max Positions</t>
        </is>
      </c>
      <c r="I135" s="14" t="inlineStr">
        <is>
          <t>-</t>
        </is>
      </c>
      <c r="J135" s="14" t="inlineStr">
        <is>
          <t>All 3 lots are added and the configured limit is still 5.</t>
        </is>
      </c>
      <c r="K135" s="14" t="inlineStr"/>
      <c r="L135" s="15" t="inlineStr">
        <is>
          <t>Not Run</t>
        </is>
      </c>
      <c r="M135" s="13" t="inlineStr"/>
      <c r="N135" s="13" t="inlineStr"/>
      <c r="O135" s="13" t="inlineStr"/>
      <c r="P135" s="14" t="inlineStr"/>
    </row>
    <row r="136">
      <c r="A136" s="8" t="inlineStr">
        <is>
          <t>TC-MPS-305</t>
        </is>
      </c>
      <c r="B136" s="9" t="inlineStr">
        <is>
          <t>Max Position</t>
        </is>
      </c>
      <c r="C136" s="9" t="inlineStr">
        <is>
          <t>Visibility</t>
        </is>
      </c>
      <c r="D136" s="10" t="inlineStr">
        <is>
          <t>The behaviour option is hidden when Max Positions is 0</t>
        </is>
      </c>
      <c r="E136" s="9" t="inlineStr">
        <is>
          <t>P3 - Medium</t>
        </is>
      </c>
      <c r="F136" s="9" t="inlineStr">
        <is>
          <t>UI / UX</t>
        </is>
      </c>
      <c r="G136" s="10" t="inlineStr">
        <is>
          <t>Charticks is open on the Settings screen.</t>
        </is>
      </c>
      <c r="H136" s="10" t="inlineStr">
        <is>
          <t>1. Set Default Max Positions to 0
2. Look for 'Customize Max Position Limit Behavior'</t>
        </is>
      </c>
      <c r="I136" s="10" t="inlineStr">
        <is>
          <t>-</t>
        </is>
      </c>
      <c r="J136" s="10" t="inlineStr">
        <is>
          <t>The control is hidden, because there is no limit to apply.</t>
        </is>
      </c>
      <c r="K136" s="10" t="inlineStr"/>
      <c r="L136" s="11" t="inlineStr">
        <is>
          <t>Not Run</t>
        </is>
      </c>
      <c r="M136" s="9" t="inlineStr"/>
      <c r="N136" s="9" t="inlineStr"/>
      <c r="O136" s="9" t="inlineStr"/>
      <c r="P136" s="10" t="inlineStr"/>
    </row>
    <row r="137">
      <c r="A137" s="12" t="inlineStr">
        <is>
          <t>TC-SET-301</t>
        </is>
      </c>
      <c r="B137" s="13" t="inlineStr">
        <is>
          <t>Settings</t>
        </is>
      </c>
      <c r="C137" s="13" t="inlineStr">
        <is>
          <t>Profiles</t>
        </is>
      </c>
      <c r="D137" s="14" t="inlineStr">
        <is>
          <t>Six profiles exist: Mon-Fri plus Others</t>
        </is>
      </c>
      <c r="E137" s="13" t="inlineStr">
        <is>
          <t>P2 - High</t>
        </is>
      </c>
      <c r="F137" s="13" t="inlineStr">
        <is>
          <t>UI / UX</t>
        </is>
      </c>
      <c r="G137" s="14" t="inlineStr">
        <is>
          <t>Charticks is open on the Settings screen.</t>
        </is>
      </c>
      <c r="H137" s="14" t="inlineStr">
        <is>
          <t>1. Look at the profile selector</t>
        </is>
      </c>
      <c r="I137" s="14" t="inlineStr">
        <is>
          <t>-</t>
        </is>
      </c>
      <c r="J137" s="14" t="inlineStr">
        <is>
          <t>Mon, Tue, Wed, Thu, Fri and Others are shown, each with its sub-label (e.g. Tue 'EXPIRY DAY').</t>
        </is>
      </c>
      <c r="K137" s="14" t="inlineStr"/>
      <c r="L137" s="15" t="inlineStr">
        <is>
          <t>Not Run</t>
        </is>
      </c>
      <c r="M137" s="13" t="inlineStr"/>
      <c r="N137" s="13" t="inlineStr"/>
      <c r="O137" s="13" t="inlineStr"/>
      <c r="P137" s="14" t="inlineStr"/>
    </row>
    <row r="138">
      <c r="A138" s="8" t="inlineStr">
        <is>
          <t>TC-SET-302</t>
        </is>
      </c>
      <c r="B138" s="9" t="inlineStr">
        <is>
          <t>Settings</t>
        </is>
      </c>
      <c r="C138" s="9" t="inlineStr">
        <is>
          <t>Profiles</t>
        </is>
      </c>
      <c r="D138" s="10" t="inlineStr">
        <is>
          <t>Today's weekday profile is selected automatically</t>
        </is>
      </c>
      <c r="E138" s="9" t="inlineStr">
        <is>
          <t>P2 - High</t>
        </is>
      </c>
      <c r="F138" s="9" t="inlineStr">
        <is>
          <t>Functional</t>
        </is>
      </c>
      <c r="G138" s="10" t="inlineStr">
        <is>
          <t>Charticks is open on the Settings screen.</t>
        </is>
      </c>
      <c r="H138" s="10" t="inlineStr">
        <is>
          <t>1. Open Settings on a weekday
2. Read which profile is highlighted and the banner</t>
        </is>
      </c>
      <c r="I138" s="10" t="inlineStr">
        <is>
          <t>-</t>
        </is>
      </c>
      <c r="J138" s="10" t="inlineStr">
        <is>
          <t>The profile for today's weekday is active and the banner names it, e.g. 'You are editing Wed (Seller) profile.'</t>
        </is>
      </c>
      <c r="K138" s="10" t="inlineStr"/>
      <c r="L138" s="11" t="inlineStr">
        <is>
          <t>Not Run</t>
        </is>
      </c>
      <c r="M138" s="9" t="inlineStr"/>
      <c r="N138" s="9" t="inlineStr"/>
      <c r="O138" s="9" t="inlineStr"/>
      <c r="P138" s="10" t="inlineStr"/>
    </row>
    <row r="139">
      <c r="A139" s="12" t="inlineStr">
        <is>
          <t>TC-SET-303</t>
        </is>
      </c>
      <c r="B139" s="13" t="inlineStr">
        <is>
          <t>Settings</t>
        </is>
      </c>
      <c r="C139" s="13" t="inlineStr">
        <is>
          <t>Profiles</t>
        </is>
      </c>
      <c r="D139" s="14" t="inlineStr">
        <is>
          <t>Manually choosing another profile shows a session-override notice</t>
        </is>
      </c>
      <c r="E139" s="13" t="inlineStr">
        <is>
          <t>P3 - Medium</t>
        </is>
      </c>
      <c r="F139" s="13" t="inlineStr">
        <is>
          <t>UI / UX</t>
        </is>
      </c>
      <c r="G139" s="14" t="inlineStr">
        <is>
          <t>Charticks is open on the Settings screen.</t>
        </is>
      </c>
      <c r="H139" s="14" t="inlineStr">
        <is>
          <t>1. Click a different weekday profile
2. Read the notice under the banner</t>
        </is>
      </c>
      <c r="I139" s="14" t="inlineStr">
        <is>
          <t>-</t>
        </is>
      </c>
      <c r="J139" s="14" t="inlineStr">
        <is>
          <t>A notice explains that this profile is active for this session only and automatic selection resumes next launch.</t>
        </is>
      </c>
      <c r="K139" s="14" t="inlineStr"/>
      <c r="L139" s="15" t="inlineStr">
        <is>
          <t>Not Run</t>
        </is>
      </c>
      <c r="M139" s="13" t="inlineStr"/>
      <c r="N139" s="13" t="inlineStr"/>
      <c r="O139" s="13" t="inlineStr"/>
      <c r="P139" s="14" t="inlineStr"/>
    </row>
    <row r="140">
      <c r="A140" s="8" t="inlineStr">
        <is>
          <t>TC-SET-304</t>
        </is>
      </c>
      <c r="B140" s="9" t="inlineStr">
        <is>
          <t>Settings</t>
        </is>
      </c>
      <c r="C140" s="9" t="inlineStr">
        <is>
          <t>Profiles</t>
        </is>
      </c>
      <c r="D140" s="10" t="inlineStr">
        <is>
          <t>Editing one profile does not affect the others</t>
        </is>
      </c>
      <c r="E140" s="9" t="inlineStr">
        <is>
          <t>P1 - Critical</t>
        </is>
      </c>
      <c r="F140" s="9" t="inlineStr">
        <is>
          <t>Data / Calculation</t>
        </is>
      </c>
      <c r="G140" s="10" t="inlineStr">
        <is>
          <t>Charticks is open on the Settings screen.</t>
        </is>
      </c>
      <c r="H140" s="10" t="inlineStr">
        <is>
          <t>1. On Wed set NIFTY SL to 33 and Save
2. Switch to Mon and read NIFTY SL
3. Switch back to Wed</t>
        </is>
      </c>
      <c r="I140" s="10" t="inlineStr">
        <is>
          <t>Wed SL 33, Mon unchanged</t>
        </is>
      </c>
      <c r="J140" s="10" t="inlineStr">
        <is>
          <t>Mon still shows its own value; Wed shows 33.</t>
        </is>
      </c>
      <c r="K140" s="10" t="inlineStr"/>
      <c r="L140" s="11" t="inlineStr">
        <is>
          <t>Not Run</t>
        </is>
      </c>
      <c r="M140" s="9" t="inlineStr"/>
      <c r="N140" s="9" t="inlineStr"/>
      <c r="O140" s="9" t="inlineStr"/>
      <c r="P140" s="10" t="inlineStr"/>
    </row>
    <row r="141">
      <c r="A141" s="12" t="inlineStr">
        <is>
          <t>TC-SET-305</t>
        </is>
      </c>
      <c r="B141" s="13" t="inlineStr">
        <is>
          <t>Settings</t>
        </is>
      </c>
      <c r="C141" s="13" t="inlineStr">
        <is>
          <t>Save / Cancel</t>
        </is>
      </c>
      <c r="D141" s="14" t="inlineStr">
        <is>
          <t>Save and Cancel stay disabled until something changes</t>
        </is>
      </c>
      <c r="E141" s="13" t="inlineStr">
        <is>
          <t>P2 - High</t>
        </is>
      </c>
      <c r="F141" s="13" t="inlineStr">
        <is>
          <t>UI / UX</t>
        </is>
      </c>
      <c r="G141" s="14" t="inlineStr">
        <is>
          <t>Charticks is open on the Settings screen.</t>
        </is>
      </c>
      <c r="H141" s="14" t="inlineStr">
        <is>
          <t>1. Open Settings and change nothing
2. Look at the footer buttons</t>
        </is>
      </c>
      <c r="I141" s="14" t="inlineStr">
        <is>
          <t>-</t>
        </is>
      </c>
      <c r="J141" s="14" t="inlineStr">
        <is>
          <t>Both buttons are greyed out.</t>
        </is>
      </c>
      <c r="K141" s="14" t="inlineStr"/>
      <c r="L141" s="15" t="inlineStr">
        <is>
          <t>Not Run</t>
        </is>
      </c>
      <c r="M141" s="13" t="inlineStr"/>
      <c r="N141" s="13" t="inlineStr"/>
      <c r="O141" s="13" t="inlineStr"/>
      <c r="P141" s="14" t="inlineStr"/>
    </row>
    <row r="142">
      <c r="A142" s="8" t="inlineStr">
        <is>
          <t>TC-SET-306</t>
        </is>
      </c>
      <c r="B142" s="9" t="inlineStr">
        <is>
          <t>Settings</t>
        </is>
      </c>
      <c r="C142" s="9" t="inlineStr">
        <is>
          <t>Save / Cancel</t>
        </is>
      </c>
      <c r="D142" s="10" t="inlineStr">
        <is>
          <t>Cancel discards all unsaved edits</t>
        </is>
      </c>
      <c r="E142" s="9" t="inlineStr">
        <is>
          <t>P1 - Critical</t>
        </is>
      </c>
      <c r="F142" s="9" t="inlineStr">
        <is>
          <t>Functional</t>
        </is>
      </c>
      <c r="G142" s="10" t="inlineStr">
        <is>
          <t>Charticks is open on the Settings screen.</t>
        </is>
      </c>
      <c r="H142" s="10" t="inlineStr">
        <is>
          <t>1. Change several values across different cards
2. Click Cancel
3. Re-read the values</t>
        </is>
      </c>
      <c r="I142" s="10" t="inlineStr">
        <is>
          <t>-</t>
        </is>
      </c>
      <c r="J142" s="10" t="inlineStr">
        <is>
          <t>Every field returns to the last saved value.</t>
        </is>
      </c>
      <c r="K142" s="10" t="inlineStr"/>
      <c r="L142" s="11" t="inlineStr">
        <is>
          <t>Not Run</t>
        </is>
      </c>
      <c r="M142" s="9" t="inlineStr"/>
      <c r="N142" s="9" t="inlineStr"/>
      <c r="O142" s="9" t="inlineStr"/>
      <c r="P142" s="10" t="inlineStr"/>
    </row>
    <row r="143">
      <c r="A143" s="12" t="inlineStr">
        <is>
          <t>TC-SET-307</t>
        </is>
      </c>
      <c r="B143" s="13" t="inlineStr">
        <is>
          <t>Settings</t>
        </is>
      </c>
      <c r="C143" s="13" t="inlineStr">
        <is>
          <t>Save / Cancel</t>
        </is>
      </c>
      <c r="D143" s="14" t="inlineStr">
        <is>
          <t>Save commits the changes and confirms</t>
        </is>
      </c>
      <c r="E143" s="13" t="inlineStr">
        <is>
          <t>P1 - Critical</t>
        </is>
      </c>
      <c r="F143" s="13" t="inlineStr">
        <is>
          <t>Functional</t>
        </is>
      </c>
      <c r="G143" s="14" t="inlineStr">
        <is>
          <t>Charticks is open on the Settings screen.</t>
        </is>
      </c>
      <c r="H143" s="14" t="inlineStr">
        <is>
          <t>1. Change a value
2. Click 'Save Changes'
3. Navigate away and back</t>
        </is>
      </c>
      <c r="I143" s="14" t="inlineStr">
        <is>
          <t>-</t>
        </is>
      </c>
      <c r="J143" s="14" t="inlineStr">
        <is>
          <t>A 'Saved' confirmation appears, the buttons grey out again and the value persists after navigating away and after an app restart.</t>
        </is>
      </c>
      <c r="K143" s="14" t="inlineStr"/>
      <c r="L143" s="15" t="inlineStr">
        <is>
          <t>Not Run</t>
        </is>
      </c>
      <c r="M143" s="13" t="inlineStr"/>
      <c r="N143" s="13" t="inlineStr"/>
      <c r="O143" s="13" t="inlineStr"/>
      <c r="P143" s="14" t="inlineStr"/>
    </row>
    <row r="144">
      <c r="A144" s="8" t="inlineStr">
        <is>
          <t>TC-SET-308</t>
        </is>
      </c>
      <c r="B144" s="9" t="inlineStr">
        <is>
          <t>Settings</t>
        </is>
      </c>
      <c r="C144" s="9" t="inlineStr">
        <is>
          <t>Trading style</t>
        </is>
      </c>
      <c r="D144" s="10" t="inlineStr">
        <is>
          <t>Buyer style hides the Hedging card</t>
        </is>
      </c>
      <c r="E144" s="9" t="inlineStr">
        <is>
          <t>P2 - High</t>
        </is>
      </c>
      <c r="F144" s="9" t="inlineStr">
        <is>
          <t>UI / UX</t>
        </is>
      </c>
      <c r="G144" s="10" t="inlineStr">
        <is>
          <t>Charticks is open on the Settings screen.</t>
        </is>
      </c>
      <c r="H144" s="10" t="inlineStr">
        <is>
          <t>1. Select the 'Buyer' style
2. Look for the Hedging card
3. Select 'Seller' again</t>
        </is>
      </c>
      <c r="I144" s="10" t="inlineStr">
        <is>
          <t>-</t>
        </is>
      </c>
      <c r="J144" s="10" t="inlineStr">
        <is>
          <t>Hedging is hidden for Buyer and returns for Seller and Hybrid. Hidden values are not lost.</t>
        </is>
      </c>
      <c r="K144" s="10" t="inlineStr"/>
      <c r="L144" s="11" t="inlineStr">
        <is>
          <t>Not Run</t>
        </is>
      </c>
      <c r="M144" s="9" t="inlineStr"/>
      <c r="N144" s="9" t="inlineStr"/>
      <c r="O144" s="9" t="inlineStr"/>
      <c r="P144" s="10" t="inlineStr"/>
    </row>
    <row r="145">
      <c r="A145" s="12" t="inlineStr">
        <is>
          <t>TC-SET-309</t>
        </is>
      </c>
      <c r="B145" s="13" t="inlineStr">
        <is>
          <t>Settings</t>
        </is>
      </c>
      <c r="C145" s="13" t="inlineStr">
        <is>
          <t>Instrument defaults</t>
        </is>
      </c>
      <c r="D145" s="14" t="inlineStr">
        <is>
          <t>Columns follow the enabled features</t>
        </is>
      </c>
      <c r="E145" s="13" t="inlineStr">
        <is>
          <t>P2 - High</t>
        </is>
      </c>
      <c r="F145" s="13" t="inlineStr">
        <is>
          <t>UI / UX</t>
        </is>
      </c>
      <c r="G145" s="14" t="inlineStr">
        <is>
          <t>Charticks is open on the Settings screen.</t>
        </is>
      </c>
      <c r="H145" s="14" t="inlineStr">
        <is>
          <t>1. Untick Target
2. Look at the Instrument Defaults table
3. Re-tick it</t>
        </is>
      </c>
      <c r="I145" s="14" t="inlineStr">
        <is>
          <t>-</t>
        </is>
      </c>
      <c r="J145" s="14" t="inlineStr">
        <is>
          <t>The Target column disappears and reappears; no dead columns remain.</t>
        </is>
      </c>
      <c r="K145" s="14" t="inlineStr"/>
      <c r="L145" s="15" t="inlineStr">
        <is>
          <t>Not Run</t>
        </is>
      </c>
      <c r="M145" s="13" t="inlineStr"/>
      <c r="N145" s="13" t="inlineStr"/>
      <c r="O145" s="13" t="inlineStr"/>
      <c r="P145" s="14" t="inlineStr"/>
    </row>
    <row r="146">
      <c r="A146" s="8" t="inlineStr">
        <is>
          <t>TC-SET-310</t>
        </is>
      </c>
      <c r="B146" s="9" t="inlineStr">
        <is>
          <t>Settings</t>
        </is>
      </c>
      <c r="C146" s="9" t="inlineStr">
        <is>
          <t>Instrument defaults</t>
        </is>
      </c>
      <c r="D146" s="10" t="inlineStr">
        <is>
          <t>Turning every feature off shows an explanatory message</t>
        </is>
      </c>
      <c r="E146" s="9" t="inlineStr">
        <is>
          <t>P3 - Medium</t>
        </is>
      </c>
      <c r="F146" s="9" t="inlineStr">
        <is>
          <t>UI / UX</t>
        </is>
      </c>
      <c r="G146" s="10" t="inlineStr">
        <is>
          <t>Charticks is open on the Settings screen.</t>
        </is>
      </c>
      <c r="H146" s="10" t="inlineStr">
        <is>
          <t>1. Untick Stop Loss, Target and Trail SL</t>
        </is>
      </c>
      <c r="I146" s="10" t="inlineStr">
        <is>
          <t>-</t>
        </is>
      </c>
      <c r="J146" s="10" t="inlineStr">
        <is>
          <t>The table is replaced by a note that new trades will carry no SL, Target or Trail SL.</t>
        </is>
      </c>
      <c r="K146" s="10" t="inlineStr"/>
      <c r="L146" s="11" t="inlineStr">
        <is>
          <t>Not Run</t>
        </is>
      </c>
      <c r="M146" s="9" t="inlineStr"/>
      <c r="N146" s="9" t="inlineStr"/>
      <c r="O146" s="9" t="inlineStr"/>
      <c r="P146" s="10" t="inlineStr"/>
    </row>
    <row r="147">
      <c r="A147" s="12" t="inlineStr">
        <is>
          <t>TC-SET-311</t>
        </is>
      </c>
      <c r="B147" s="13" t="inlineStr">
        <is>
          <t>Settings</t>
        </is>
      </c>
      <c r="C147" s="13" t="inlineStr">
        <is>
          <t>Instrument defaults</t>
        </is>
      </c>
      <c r="D147" s="14" t="inlineStr">
        <is>
          <t>Column units follow the chosen mode</t>
        </is>
      </c>
      <c r="E147" s="13" t="inlineStr">
        <is>
          <t>P2 - High</t>
        </is>
      </c>
      <c r="F147" s="13" t="inlineStr">
        <is>
          <t>UI / UX</t>
        </is>
      </c>
      <c r="G147" s="14" t="inlineStr">
        <is>
          <t>Charticks is open on the Settings screen.</t>
        </is>
      </c>
      <c r="H147" s="14" t="inlineStr">
        <is>
          <t>1. Set SL mode to Percentage
2. Read the SL column header
3. Set it back to Points</t>
        </is>
      </c>
      <c r="I147" s="14" t="inlineStr">
        <is>
          <t>-</t>
        </is>
      </c>
      <c r="J147" s="14" t="inlineStr">
        <is>
          <t>The header reads 'SL (%)' in percentage mode and 'SL (Points)' in points mode.</t>
        </is>
      </c>
      <c r="K147" s="14" t="inlineStr"/>
      <c r="L147" s="15" t="inlineStr">
        <is>
          <t>Not Run</t>
        </is>
      </c>
      <c r="M147" s="13" t="inlineStr"/>
      <c r="N147" s="13" t="inlineStr"/>
      <c r="O147" s="13" t="inlineStr"/>
      <c r="P147" s="14" t="inlineStr"/>
    </row>
    <row r="148">
      <c r="A148" s="8" t="inlineStr">
        <is>
          <t>TC-SET-312</t>
        </is>
      </c>
      <c r="B148" s="9" t="inlineStr">
        <is>
          <t>Settings</t>
        </is>
      </c>
      <c r="C148" s="9" t="inlineStr">
        <is>
          <t>Instrument defaults</t>
        </is>
      </c>
      <c r="D148" s="10" t="inlineStr">
        <is>
          <t>Trail columns switch with the Trail mode</t>
        </is>
      </c>
      <c r="E148" s="9" t="inlineStr">
        <is>
          <t>P2 - High</t>
        </is>
      </c>
      <c r="F148" s="9" t="inlineStr">
        <is>
          <t>UI / UX</t>
        </is>
      </c>
      <c r="G148" s="10" t="inlineStr">
        <is>
          <t>Charticks is open on the Settings screen.</t>
        </is>
      </c>
      <c r="H148" s="10" t="inlineStr">
        <is>
          <t>1. Set Trail SL to Point Based
2. Read the columns
3. Switch to Profit Based</t>
        </is>
      </c>
      <c r="I148" s="10" t="inlineStr">
        <is>
          <t>-</t>
        </is>
      </c>
      <c r="J148" s="10" t="inlineStr">
        <is>
          <t>Point mode shows 'Trail After (Points)' and 'Trail Step (Points)'; Profit mode shows 'Start Trail (Rs)' and 'Trail Step (Rs)'.</t>
        </is>
      </c>
      <c r="K148" s="10" t="inlineStr"/>
      <c r="L148" s="11" t="inlineStr">
        <is>
          <t>Not Run</t>
        </is>
      </c>
      <c r="M148" s="9" t="inlineStr"/>
      <c r="N148" s="9" t="inlineStr"/>
      <c r="O148" s="9" t="inlineStr"/>
      <c r="P148" s="10" t="inlineStr"/>
    </row>
    <row r="149">
      <c r="A149" s="12" t="inlineStr">
        <is>
          <t>TC-SET-313</t>
        </is>
      </c>
      <c r="B149" s="13" t="inlineStr">
        <is>
          <t>Settings</t>
        </is>
      </c>
      <c r="C149" s="13" t="inlineStr">
        <is>
          <t>Execution defaults</t>
        </is>
      </c>
      <c r="D149" s="14" t="inlineStr">
        <is>
          <t>Default quantity, order type, product and validity are configurable</t>
        </is>
      </c>
      <c r="E149" s="13" t="inlineStr">
        <is>
          <t>P2 - High</t>
        </is>
      </c>
      <c r="F149" s="13" t="inlineStr">
        <is>
          <t>Functional</t>
        </is>
      </c>
      <c r="G149" s="14" t="inlineStr">
        <is>
          <t>Charticks is open on the Settings screen.</t>
        </is>
      </c>
      <c r="H149" s="14" t="inlineStr">
        <is>
          <t>1. Set Default Quantity 2, Order Type Limit, Product MIS, Validity IOC
2. Save
3. Go to Home</t>
        </is>
      </c>
      <c r="I149" s="14" t="inlineStr">
        <is>
          <t>Qty 2 / Limit / MIS / IOC</t>
        </is>
      </c>
      <c r="J149" s="14" t="inlineStr">
        <is>
          <t>The Option Chain opens with those defaults applied to new orders.</t>
        </is>
      </c>
      <c r="K149" s="14" t="inlineStr"/>
      <c r="L149" s="15" t="inlineStr">
        <is>
          <t>Not Run</t>
        </is>
      </c>
      <c r="M149" s="13" t="inlineStr"/>
      <c r="N149" s="13" t="inlineStr"/>
      <c r="O149" s="13" t="inlineStr"/>
      <c r="P149" s="14" t="inlineStr"/>
    </row>
    <row r="150">
      <c r="A150" s="8" t="inlineStr">
        <is>
          <t>TC-SET-314</t>
        </is>
      </c>
      <c r="B150" s="9" t="inlineStr">
        <is>
          <t>Settings</t>
        </is>
      </c>
      <c r="C150" s="9" t="inlineStr">
        <is>
          <t>Execution defaults</t>
        </is>
      </c>
      <c r="D150" s="10" t="inlineStr">
        <is>
          <t>Partial Exit percentages drive the buttons on each position</t>
        </is>
      </c>
      <c r="E150" s="9" t="inlineStr">
        <is>
          <t>P2 - High</t>
        </is>
      </c>
      <c r="F150" s="9" t="inlineStr">
        <is>
          <t>Functional</t>
        </is>
      </c>
      <c r="G150" s="10" t="inlineStr">
        <is>
          <t>Charticks is open on the Settings screen.</t>
        </is>
      </c>
      <c r="H150" s="10" t="inlineStr">
        <is>
          <t>1. Select only 50% and 100%
2. Save
3. Open Positions</t>
        </is>
      </c>
      <c r="I150" s="10" t="inlineStr">
        <is>
          <t>50, 100</t>
        </is>
      </c>
      <c r="J150" s="10" t="inlineStr">
        <is>
          <t>Each position row shows exactly two exit buttons: 50% and 100%.</t>
        </is>
      </c>
      <c r="K150" s="10" t="inlineStr"/>
      <c r="L150" s="11" t="inlineStr">
        <is>
          <t>Not Run</t>
        </is>
      </c>
      <c r="M150" s="9" t="inlineStr"/>
      <c r="N150" s="9" t="inlineStr"/>
      <c r="O150" s="9" t="inlineStr"/>
      <c r="P150" s="10" t="inlineStr"/>
    </row>
    <row r="151">
      <c r="A151" s="12" t="inlineStr">
        <is>
          <t>TC-SET-315</t>
        </is>
      </c>
      <c r="B151" s="13" t="inlineStr">
        <is>
          <t>Settings</t>
        </is>
      </c>
      <c r="C151" s="13" t="inlineStr">
        <is>
          <t>Advanced</t>
        </is>
      </c>
      <c r="D151" s="14" t="inlineStr">
        <is>
          <t>Advanced Execution options are collapsed by default</t>
        </is>
      </c>
      <c r="E151" s="13" t="inlineStr">
        <is>
          <t>P3 - Medium</t>
        </is>
      </c>
      <c r="F151" s="13" t="inlineStr">
        <is>
          <t>UI / UX</t>
        </is>
      </c>
      <c r="G151" s="14" t="inlineStr">
        <is>
          <t>Charticks is open on the Settings screen.</t>
        </is>
      </c>
      <c r="H151" s="14" t="inlineStr">
        <is>
          <t>1. Look at the Execution Defaults card
2. Click 'Advanced Execution'</t>
        </is>
      </c>
      <c r="I151" s="14" t="inlineStr">
        <is>
          <t>-</t>
        </is>
      </c>
      <c r="J151" s="14" t="inlineStr">
        <is>
          <t>The four advanced fields are hidden until the disclosure is opened.</t>
        </is>
      </c>
      <c r="K151" s="14" t="inlineStr"/>
      <c r="L151" s="15" t="inlineStr">
        <is>
          <t>Not Run</t>
        </is>
      </c>
      <c r="M151" s="13" t="inlineStr"/>
      <c r="N151" s="13" t="inlineStr"/>
      <c r="O151" s="13" t="inlineStr"/>
      <c r="P151" s="14" t="inlineStr"/>
    </row>
    <row r="152">
      <c r="A152" s="8" t="inlineStr">
        <is>
          <t>TC-SET-316</t>
        </is>
      </c>
      <c r="B152" s="9" t="inlineStr">
        <is>
          <t>Settings</t>
        </is>
      </c>
      <c r="C152" s="9" t="inlineStr">
        <is>
          <t>Advanced</t>
        </is>
      </c>
      <c r="D152" s="10" t="inlineStr">
        <is>
          <t>Max Quantity per order blocks an oversized order</t>
        </is>
      </c>
      <c r="E152" s="9" t="inlineStr">
        <is>
          <t>P2 - High</t>
        </is>
      </c>
      <c r="F152" s="9" t="inlineStr">
        <is>
          <t>Negative</t>
        </is>
      </c>
      <c r="G152" s="10" t="inlineStr">
        <is>
          <t>Settings: Max Quantity / Order = 100, saved.</t>
        </is>
      </c>
      <c r="H152" s="10" t="inlineStr">
        <is>
          <t>1. Try to place an order for more lots than 100 quantity</t>
        </is>
      </c>
      <c r="I152" s="10" t="inlineStr">
        <is>
          <t>Max qty 100</t>
        </is>
      </c>
      <c r="J152" s="10" t="inlineStr">
        <is>
          <t>The order is refused with a message naming the quantity and the limit.</t>
        </is>
      </c>
      <c r="K152" s="10" t="inlineStr"/>
      <c r="L152" s="11" t="inlineStr">
        <is>
          <t>Not Run</t>
        </is>
      </c>
      <c r="M152" s="9" t="inlineStr"/>
      <c r="N152" s="9" t="inlineStr"/>
      <c r="O152" s="9" t="inlineStr"/>
      <c r="P152" s="10" t="inlineStr"/>
    </row>
    <row r="153">
      <c r="A153" s="12" t="inlineStr">
        <is>
          <t>TC-SET-317</t>
        </is>
      </c>
      <c r="B153" s="13" t="inlineStr">
        <is>
          <t>Settings</t>
        </is>
      </c>
      <c r="C153" s="13" t="inlineStr">
        <is>
          <t>Advanced</t>
        </is>
      </c>
      <c r="D153" s="14" t="inlineStr">
        <is>
          <t>Max Price blocks an order above the configured price</t>
        </is>
      </c>
      <c r="E153" s="13" t="inlineStr">
        <is>
          <t>P2 - High</t>
        </is>
      </c>
      <c r="F153" s="13" t="inlineStr">
        <is>
          <t>Negative</t>
        </is>
      </c>
      <c r="G153" s="14" t="inlineStr">
        <is>
          <t>Settings: Max Price = 50, saved.</t>
        </is>
      </c>
      <c r="H153" s="14" t="inlineStr">
        <is>
          <t>1. Try to buy an option quoted well above 50</t>
        </is>
      </c>
      <c r="I153" s="14" t="inlineStr">
        <is>
          <t>Max price 50</t>
        </is>
      </c>
      <c r="J153" s="14" t="inlineStr">
        <is>
          <t>The order is refused with a message naming the price and the limit.</t>
        </is>
      </c>
      <c r="K153" s="14" t="inlineStr"/>
      <c r="L153" s="15" t="inlineStr">
        <is>
          <t>Not Run</t>
        </is>
      </c>
      <c r="M153" s="13" t="inlineStr"/>
      <c r="N153" s="13" t="inlineStr"/>
      <c r="O153" s="13" t="inlineStr"/>
      <c r="P153" s="14" t="inlineStr"/>
    </row>
    <row r="154">
      <c r="A154" s="8" t="inlineStr">
        <is>
          <t>TC-SET-318</t>
        </is>
      </c>
      <c r="B154" s="9" t="inlineStr">
        <is>
          <t>Settings</t>
        </is>
      </c>
      <c r="C154" s="9" t="inlineStr">
        <is>
          <t>Advanced</t>
        </is>
      </c>
      <c r="D154" s="10" t="inlineStr">
        <is>
          <t>Execution Delay is applied before trading actions</t>
        </is>
      </c>
      <c r="E154" s="9" t="inlineStr">
        <is>
          <t>P3 - Medium</t>
        </is>
      </c>
      <c r="F154" s="9" t="inlineStr">
        <is>
          <t>Functional</t>
        </is>
      </c>
      <c r="G154" s="10" t="inlineStr">
        <is>
          <t>Settings: Execution Delay = 2000 ms, saved.</t>
        </is>
      </c>
      <c r="H154" s="10" t="inlineStr">
        <is>
          <t>1. Click Buy on a strike and time how long until the position appears</t>
        </is>
      </c>
      <c r="I154" s="10" t="inlineStr">
        <is>
          <t>2000 ms</t>
        </is>
      </c>
      <c r="J154" s="10" t="inlineStr">
        <is>
          <t>There is a noticeable ~2 second pause before the order is sent, on Buy/Sell/Square Off/Exit/Roll alike.</t>
        </is>
      </c>
      <c r="K154" s="10" t="inlineStr"/>
      <c r="L154" s="11" t="inlineStr">
        <is>
          <t>Not Run</t>
        </is>
      </c>
      <c r="M154" s="9" t="inlineStr"/>
      <c r="N154" s="9" t="inlineStr"/>
      <c r="O154" s="9" t="inlineStr"/>
      <c r="P154" s="10" t="inlineStr"/>
    </row>
    <row r="155">
      <c r="A155" s="12" t="inlineStr">
        <is>
          <t>TC-SET-319</t>
        </is>
      </c>
      <c r="B155" s="13" t="inlineStr">
        <is>
          <t>Settings</t>
        </is>
      </c>
      <c r="C155" s="13" t="inlineStr">
        <is>
          <t>Advanced</t>
        </is>
      </c>
      <c r="D155" s="14" t="inlineStr">
        <is>
          <t>Entry Price Offset shifts the limit price in the trader's favour</t>
        </is>
      </c>
      <c r="E155" s="13" t="inlineStr">
        <is>
          <t>P3 - Medium</t>
        </is>
      </c>
      <c r="F155" s="13" t="inlineStr">
        <is>
          <t>Data / Calculation</t>
        </is>
      </c>
      <c r="G155" s="14" t="inlineStr">
        <is>
          <t>Settings: Entry Price Offset = 1%, saved.</t>
        </is>
      </c>
      <c r="H155" s="14" t="inlineStr">
        <is>
          <t>1. Place a limit BUY at the shown LTP
2. Compare the resting price with the LTP</t>
        </is>
      </c>
      <c r="I155" s="14" t="inlineStr">
        <is>
          <t>Offset 1%</t>
        </is>
      </c>
      <c r="J155" s="14" t="inlineStr">
        <is>
          <t>The BUY rests about 1% above the LTP (and a SELL about 1% below), rounded to the 0.05 tick.</t>
        </is>
      </c>
      <c r="K155" s="14" t="inlineStr"/>
      <c r="L155" s="15" t="inlineStr">
        <is>
          <t>Not Run</t>
        </is>
      </c>
      <c r="M155" s="13" t="inlineStr"/>
      <c r="N155" s="13" t="inlineStr"/>
      <c r="O155" s="13" t="inlineStr"/>
      <c r="P155" s="14" t="inlineStr"/>
    </row>
    <row r="156">
      <c r="A156" s="8" t="inlineStr">
        <is>
          <t>TC-SET-320</t>
        </is>
      </c>
      <c r="B156" s="9" t="inlineStr">
        <is>
          <t>Settings</t>
        </is>
      </c>
      <c r="C156" s="9" t="inlineStr">
        <is>
          <t>Hedging</t>
        </is>
      </c>
      <c r="D156" s="10" t="inlineStr">
        <is>
          <t>Auto hedge places a protective leg after a SELL entry</t>
        </is>
      </c>
      <c r="E156" s="9" t="inlineStr">
        <is>
          <t>P2 - High</t>
        </is>
      </c>
      <c r="F156" s="9" t="inlineStr">
        <is>
          <t>Integration</t>
        </is>
      </c>
      <c r="G156" s="10" t="inlineStr">
        <is>
          <t>Seller or Hybrid style, Auto Hedge ON with Hedge Distance 200 points. Paper mode, market open.</t>
        </is>
      </c>
      <c r="H156" s="10" t="inlineStr">
        <is>
          <t>1. Sell 1 lot of a NIFTY Call
2. Watch the Positions grid</t>
        </is>
      </c>
      <c r="I156" s="10" t="inlineStr">
        <is>
          <t>Hedge distance 200 pts</t>
        </is>
      </c>
      <c r="J156" s="10" t="inlineStr">
        <is>
          <t>A protective BUY leg is opened automatically about 200 points further out of the money on the same option type and expiry.</t>
        </is>
      </c>
      <c r="K156" s="10" t="inlineStr"/>
      <c r="L156" s="11" t="inlineStr">
        <is>
          <t>Not Run</t>
        </is>
      </c>
      <c r="M156" s="9" t="inlineStr"/>
      <c r="N156" s="9" t="inlineStr"/>
      <c r="O156" s="9" t="inlineStr"/>
      <c r="P156" s="10" t="inlineStr"/>
    </row>
    <row r="157">
      <c r="A157" s="12" t="inlineStr">
        <is>
          <t>TC-SET-321</t>
        </is>
      </c>
      <c r="B157" s="13" t="inlineStr">
        <is>
          <t>Settings</t>
        </is>
      </c>
      <c r="C157" s="13" t="inlineStr">
        <is>
          <t>Hedging</t>
        </is>
      </c>
      <c r="D157" s="14" t="inlineStr">
        <is>
          <t>Auto hedge does nothing when disabled</t>
        </is>
      </c>
      <c r="E157" s="13" t="inlineStr">
        <is>
          <t>P2 - High</t>
        </is>
      </c>
      <c r="F157" s="13" t="inlineStr">
        <is>
          <t>Negative</t>
        </is>
      </c>
      <c r="G157" s="14" t="inlineStr">
        <is>
          <t>Auto Hedge OFF.</t>
        </is>
      </c>
      <c r="H157" s="14" t="inlineStr">
        <is>
          <t>1. Sell 1 lot of a NIFTY Call
2. Check the grid</t>
        </is>
      </c>
      <c r="I157" s="14" t="inlineStr">
        <is>
          <t>-</t>
        </is>
      </c>
      <c r="J157" s="14" t="inlineStr">
        <is>
          <t>Only the sold leg appears; no hedge is created.</t>
        </is>
      </c>
      <c r="K157" s="14" t="inlineStr"/>
      <c r="L157" s="15" t="inlineStr">
        <is>
          <t>Not Run</t>
        </is>
      </c>
      <c r="M157" s="13" t="inlineStr"/>
      <c r="N157" s="13" t="inlineStr"/>
      <c r="O157" s="13" t="inlineStr"/>
      <c r="P157" s="14" t="inlineStr"/>
    </row>
    <row r="158">
      <c r="A158" s="8" t="inlineStr">
        <is>
          <t>TC-SET-322</t>
        </is>
      </c>
      <c r="B158" s="9" t="inlineStr">
        <is>
          <t>Settings</t>
        </is>
      </c>
      <c r="C158" s="9" t="inlineStr">
        <is>
          <t>Notifications</t>
        </is>
      </c>
      <c r="D158" s="10" t="inlineStr">
        <is>
          <t>Notification toggles can be switched per profile</t>
        </is>
      </c>
      <c r="E158" s="9" t="inlineStr">
        <is>
          <t>P3 - Medium</t>
        </is>
      </c>
      <c r="F158" s="9" t="inlineStr">
        <is>
          <t>Functional</t>
        </is>
      </c>
      <c r="G158" s="10" t="inlineStr">
        <is>
          <t>Charticks is open on the Settings screen.</t>
        </is>
      </c>
      <c r="H158" s="10" t="inlineStr">
        <is>
          <t>1. Turn off 'Order Executed' on the Wed profile
2. Save
3. Switch to Thu and check the same toggle</t>
        </is>
      </c>
      <c r="I158" s="10" t="inlineStr">
        <is>
          <t>-</t>
        </is>
      </c>
      <c r="J158" s="10" t="inlineStr">
        <is>
          <t>The change applies only to the Wed profile.</t>
        </is>
      </c>
      <c r="K158" s="10" t="inlineStr"/>
      <c r="L158" s="11" t="inlineStr">
        <is>
          <t>Not Run</t>
        </is>
      </c>
      <c r="M158" s="9" t="inlineStr"/>
      <c r="N158" s="9" t="inlineStr"/>
      <c r="O158" s="9" t="inlineStr"/>
      <c r="P158" s="10" t="inlineStr"/>
    </row>
    <row r="159">
      <c r="A159" s="12" t="inlineStr">
        <is>
          <t>TC-SET-323</t>
        </is>
      </c>
      <c r="B159" s="13" t="inlineStr">
        <is>
          <t>Settings</t>
        </is>
      </c>
      <c r="C159" s="13" t="inlineStr">
        <is>
          <t>Risk defaults</t>
        </is>
      </c>
      <c r="D159" s="14" t="inlineStr">
        <is>
          <t>Risk Defaults seed a fresh session's limits</t>
        </is>
      </c>
      <c r="E159" s="13" t="inlineStr">
        <is>
          <t>P2 - High</t>
        </is>
      </c>
      <c r="F159" s="13" t="inlineStr">
        <is>
          <t>Functional</t>
        </is>
      </c>
      <c r="G159" s="14" t="inlineStr">
        <is>
          <t>Settings: Default Max Loss 7,000, Max Orders 8, Max Positions 4; saved.</t>
        </is>
      </c>
      <c r="H159" s="14" t="inlineStr">
        <is>
          <t>1. Reset the session limits
2. Read the Session Limits bar on Home</t>
        </is>
      </c>
      <c r="I159" s="14" t="inlineStr">
        <is>
          <t>7,000 / 8 / 4</t>
        </is>
      </c>
      <c r="J159" s="14" t="inlineStr">
        <is>
          <t>The bar is seeded with the profile's Risk Defaults.</t>
        </is>
      </c>
      <c r="K159" s="14" t="inlineStr"/>
      <c r="L159" s="15" t="inlineStr">
        <is>
          <t>Not Run</t>
        </is>
      </c>
      <c r="M159" s="13" t="inlineStr"/>
      <c r="N159" s="13" t="inlineStr"/>
      <c r="O159" s="13" t="inlineStr"/>
      <c r="P159" s="14" t="inlineStr"/>
    </row>
    <row r="160">
      <c r="A160" s="8" t="inlineStr">
        <is>
          <t>TC-MOD-301</t>
        </is>
      </c>
      <c r="B160" s="9" t="inlineStr">
        <is>
          <t>Trading Mode</t>
        </is>
      </c>
      <c r="C160" s="9" t="inlineStr">
        <is>
          <t>Indicator</t>
        </is>
      </c>
      <c r="D160" s="10" t="inlineStr">
        <is>
          <t>The current mode is always visible in the status bar</t>
        </is>
      </c>
      <c r="E160" s="9" t="inlineStr">
        <is>
          <t>P1 - Critical</t>
        </is>
      </c>
      <c r="F160" s="9" t="inlineStr">
        <is>
          <t>UI / UX</t>
        </is>
      </c>
      <c r="G160" s="10" t="inlineStr">
        <is>
          <t>Charticks is installed and open; sidecar (engine) is running.</t>
        </is>
      </c>
      <c r="H160" s="10" t="inlineStr">
        <is>
          <t>1. Look at the badge next to the broker indicator</t>
        </is>
      </c>
      <c r="I160" s="10" t="inlineStr">
        <is>
          <t>-</t>
        </is>
      </c>
      <c r="J160" s="10" t="inlineStr">
        <is>
          <t>It clearly reads 'Paper' or 'Live' and is visually distinct (yellow vs red).</t>
        </is>
      </c>
      <c r="K160" s="10" t="inlineStr"/>
      <c r="L160" s="11" t="inlineStr">
        <is>
          <t>Not Run</t>
        </is>
      </c>
      <c r="M160" s="9" t="inlineStr"/>
      <c r="N160" s="9" t="inlineStr"/>
      <c r="O160" s="9" t="inlineStr"/>
      <c r="P160" s="10" t="inlineStr"/>
    </row>
    <row r="161">
      <c r="A161" s="12" t="inlineStr">
        <is>
          <t>TC-MOD-302</t>
        </is>
      </c>
      <c r="B161" s="13" t="inlineStr">
        <is>
          <t>Trading Mode</t>
        </is>
      </c>
      <c r="C161" s="13" t="inlineStr">
        <is>
          <t>Paper to Live</t>
        </is>
      </c>
      <c r="D161" s="14" t="inlineStr">
        <is>
          <t>Switching to Live requires explicit confirmation</t>
        </is>
      </c>
      <c r="E161" s="13" t="inlineStr">
        <is>
          <t>P1 - Critical</t>
        </is>
      </c>
      <c r="F161" s="13" t="inlineStr">
        <is>
          <t>Security</t>
        </is>
      </c>
      <c r="G161" s="14" t="inlineStr">
        <is>
          <t>Charticks is installed and open; sidecar (engine) is running.</t>
        </is>
      </c>
      <c r="H161" s="14" t="inlineStr">
        <is>
          <t>1. Click the mode badge
2. Choose 'Live'
3. Read the dialog</t>
        </is>
      </c>
      <c r="I161" s="14" t="inlineStr">
        <is>
          <t>-</t>
        </is>
      </c>
      <c r="J161" s="14" t="inlineStr">
        <is>
          <t>A confirmation dialog appears warning that real orders will be placed, with an option about the existing paper session. The mode does NOT change until confirmed.</t>
        </is>
      </c>
      <c r="K161" s="14" t="inlineStr"/>
      <c r="L161" s="15" t="inlineStr">
        <is>
          <t>Not Run</t>
        </is>
      </c>
      <c r="M161" s="13" t="inlineStr"/>
      <c r="N161" s="13" t="inlineStr"/>
      <c r="O161" s="13" t="inlineStr"/>
      <c r="P161" s="14" t="inlineStr"/>
    </row>
    <row r="162">
      <c r="A162" s="8" t="inlineStr">
        <is>
          <t>TC-MOD-303</t>
        </is>
      </c>
      <c r="B162" s="9" t="inlineStr">
        <is>
          <t>Trading Mode</t>
        </is>
      </c>
      <c r="C162" s="9" t="inlineStr">
        <is>
          <t>Paper to Live</t>
        </is>
      </c>
      <c r="D162" s="10" t="inlineStr">
        <is>
          <t>Cancelling the confirmation leaves the app in Paper</t>
        </is>
      </c>
      <c r="E162" s="9" t="inlineStr">
        <is>
          <t>P1 - Critical</t>
        </is>
      </c>
      <c r="F162" s="9" t="inlineStr">
        <is>
          <t>Negative</t>
        </is>
      </c>
      <c r="G162" s="10" t="inlineStr">
        <is>
          <t>Charticks is installed and open; sidecar (engine) is running.</t>
        </is>
      </c>
      <c r="H162" s="10" t="inlineStr">
        <is>
          <t>1. Click the badge &gt; Live
2. Cancel the dialog
3. Read the badge</t>
        </is>
      </c>
      <c r="I162" s="10" t="inlineStr">
        <is>
          <t>-</t>
        </is>
      </c>
      <c r="J162" s="10" t="inlineStr">
        <is>
          <t>The badge still reads 'Paper'.</t>
        </is>
      </c>
      <c r="K162" s="10" t="inlineStr"/>
      <c r="L162" s="11" t="inlineStr">
        <is>
          <t>Not Run</t>
        </is>
      </c>
      <c r="M162" s="9" t="inlineStr"/>
      <c r="N162" s="9" t="inlineStr"/>
      <c r="O162" s="9" t="inlineStr"/>
      <c r="P162" s="10" t="inlineStr"/>
    </row>
    <row r="163">
      <c r="A163" s="12" t="inlineStr">
        <is>
          <t>TC-MOD-304</t>
        </is>
      </c>
      <c r="B163" s="13" t="inlineStr">
        <is>
          <t>Trading Mode</t>
        </is>
      </c>
      <c r="C163" s="13" t="inlineStr">
        <is>
          <t>Live to Paper</t>
        </is>
      </c>
      <c r="D163" s="14" t="inlineStr">
        <is>
          <t>Switching back to Paper is immediate and starts a fresh session</t>
        </is>
      </c>
      <c r="E163" s="13" t="inlineStr">
        <is>
          <t>P2 - High</t>
        </is>
      </c>
      <c r="F163" s="13" t="inlineStr">
        <is>
          <t>Functional</t>
        </is>
      </c>
      <c r="G163" s="14" t="inlineStr">
        <is>
          <t>Mode is Live.</t>
        </is>
      </c>
      <c r="H163" s="14" t="inlineStr">
        <is>
          <t>1. Click the badge &gt; Paper</t>
        </is>
      </c>
      <c r="I163" s="14" t="inlineStr">
        <is>
          <t>-</t>
        </is>
      </c>
      <c r="J163" s="14" t="inlineStr">
        <is>
          <t>The badge changes to Paper straight away and the paper book starts empty.</t>
        </is>
      </c>
      <c r="K163" s="14" t="inlineStr"/>
      <c r="L163" s="15" t="inlineStr">
        <is>
          <t>Not Run</t>
        </is>
      </c>
      <c r="M163" s="13" t="inlineStr"/>
      <c r="N163" s="13" t="inlineStr"/>
      <c r="O163" s="13" t="inlineStr"/>
      <c r="P163" s="14" t="inlineStr"/>
    </row>
    <row r="164">
      <c r="A164" s="8" t="inlineStr">
        <is>
          <t>TC-MOD-305</t>
        </is>
      </c>
      <c r="B164" s="9" t="inlineStr">
        <is>
          <t>Trading Mode</t>
        </is>
      </c>
      <c r="C164" s="9" t="inlineStr">
        <is>
          <t>Panel</t>
        </is>
      </c>
      <c r="D164" s="10" t="inlineStr">
        <is>
          <t>The Positions panel follows the mode, not the broker connection</t>
        </is>
      </c>
      <c r="E164" s="9" t="inlineStr">
        <is>
          <t>P2 - High</t>
        </is>
      </c>
      <c r="F164" s="9" t="inlineStr">
        <is>
          <t>UI / UX</t>
        </is>
      </c>
      <c r="G164" s="10" t="inlineStr">
        <is>
          <t>A broker is connected.</t>
        </is>
      </c>
      <c r="H164" s="10" t="inlineStr">
        <is>
          <t>1. In Paper mode read the tag on the Positions panel
2. Switch to Live and read it again</t>
        </is>
      </c>
      <c r="I164" s="10" t="inlineStr">
        <is>
          <t>-</t>
        </is>
      </c>
      <c r="J164" s="10" t="inlineStr">
        <is>
          <t>The tag reads 'Paper' in paper mode (showing the simulated book) and 'Live' in live mode (showing the broker's position book), even though the same broker feed drives both.</t>
        </is>
      </c>
      <c r="K164" s="10" t="inlineStr"/>
      <c r="L164" s="11" t="inlineStr">
        <is>
          <t>Not Run</t>
        </is>
      </c>
      <c r="M164" s="9" t="inlineStr"/>
      <c r="N164" s="9" t="inlineStr"/>
      <c r="O164" s="9" t="inlineStr"/>
      <c r="P164" s="10" t="inlineStr"/>
    </row>
    <row r="165">
      <c r="A165" s="12" t="inlineStr">
        <is>
          <t>TC-MOD-306</t>
        </is>
      </c>
      <c r="B165" s="13" t="inlineStr">
        <is>
          <t>Trading Mode</t>
        </is>
      </c>
      <c r="C165" s="13" t="inlineStr">
        <is>
          <t>Safety</t>
        </is>
      </c>
      <c r="D165" s="14" t="inlineStr">
        <is>
          <t>The engine refuses a live order when no broker is connected</t>
        </is>
      </c>
      <c r="E165" s="13" t="inlineStr">
        <is>
          <t>P1 - Critical</t>
        </is>
      </c>
      <c r="F165" s="13" t="inlineStr">
        <is>
          <t>Negative</t>
        </is>
      </c>
      <c r="G165" s="14" t="inlineStr">
        <is>
          <t>Mode Live with no connected broker.</t>
        </is>
      </c>
      <c r="H165" s="14" t="inlineStr">
        <is>
          <t>1. Attempt to place an order</t>
        </is>
      </c>
      <c r="I165" s="14" t="inlineStr">
        <is>
          <t>-</t>
        </is>
      </c>
      <c r="J165" s="14" t="inlineStr">
        <is>
          <t>The order is refused with 'No connected broker to place a live order.' - nothing is silently swallowed.</t>
        </is>
      </c>
      <c r="K165" s="14" t="inlineStr"/>
      <c r="L165" s="15" t="inlineStr">
        <is>
          <t>Not Run</t>
        </is>
      </c>
      <c r="M165" s="13" t="inlineStr"/>
      <c r="N165" s="13" t="inlineStr"/>
      <c r="O165" s="13" t="inlineStr"/>
      <c r="P165" s="14" t="inlineStr"/>
    </row>
    <row r="166">
      <c r="A166" s="8" t="inlineStr">
        <is>
          <t>TC-MOD-307</t>
        </is>
      </c>
      <c r="B166" s="9" t="inlineStr">
        <is>
          <t>Trading Mode</t>
        </is>
      </c>
      <c r="C166" s="9" t="inlineStr">
        <is>
          <t>Live routing</t>
        </is>
      </c>
      <c r="D166" s="10" t="inlineStr">
        <is>
          <t>Live routing for unsupported brokers fails loudly</t>
        </is>
      </c>
      <c r="E166" s="9" t="inlineStr">
        <is>
          <t>P2 - High</t>
        </is>
      </c>
      <c r="F166" s="9" t="inlineStr">
        <is>
          <t>Negative</t>
        </is>
      </c>
      <c r="G166" s="10" t="inlineStr">
        <is>
          <t>Mode Live with a Kotak or Dhan account connected.</t>
        </is>
      </c>
      <c r="H166" s="10" t="inlineStr">
        <is>
          <t>1. Attempt to place an order</t>
        </is>
      </c>
      <c r="I166" s="10" t="inlineStr">
        <is>
          <t>-</t>
        </is>
      </c>
      <c r="J166" s="10" t="inlineStr">
        <is>
          <t>A clear message says live routing for that broker is not available yet, instead of appearing to succeed.</t>
        </is>
      </c>
      <c r="K166" s="10" t="inlineStr"/>
      <c r="L166" s="11" t="inlineStr">
        <is>
          <t>Not Run</t>
        </is>
      </c>
      <c r="M166" s="9" t="inlineStr"/>
      <c r="N166" s="9" t="inlineStr"/>
      <c r="O166" s="9" t="inlineStr"/>
      <c r="P166" s="10" t="inlineStr"/>
    </row>
    <row r="167">
      <c r="A167" s="12" t="inlineStr">
        <is>
          <t>TC-SPL-301</t>
        </is>
      </c>
      <c r="B167" s="13" t="inlineStr">
        <is>
          <t>Order Splitting</t>
        </is>
      </c>
      <c r="C167" s="13" t="inlineStr">
        <is>
          <t>Under limit</t>
        </is>
      </c>
      <c r="D167" s="14" t="inlineStr">
        <is>
          <t>An order within the broker limit is sent as one order</t>
        </is>
      </c>
      <c r="E167" s="13" t="inlineStr">
        <is>
          <t>P2 - High</t>
        </is>
      </c>
      <c r="F167" s="13" t="inlineStr">
        <is>
          <t>Functional</t>
        </is>
      </c>
      <c r="G167" s="14" t="inlineStr">
        <is>
          <t>Live mode with a broker whose per-order limit is configured (e.g. 27 lots).</t>
        </is>
      </c>
      <c r="H167" s="14" t="inlineStr">
        <is>
          <t>1. Place an order for fewer lots than the limit
2. Check the Order Book</t>
        </is>
      </c>
      <c r="I167" s="14" t="inlineStr">
        <is>
          <t>20 lots (limit 27)</t>
        </is>
      </c>
      <c r="J167" s="14" t="inlineStr">
        <is>
          <t>One order is shown; no splitting happens.</t>
        </is>
      </c>
      <c r="K167" s="14" t="inlineStr"/>
      <c r="L167" s="15" t="inlineStr">
        <is>
          <t>Not Run</t>
        </is>
      </c>
      <c r="M167" s="13" t="inlineStr"/>
      <c r="N167" s="13" t="inlineStr"/>
      <c r="O167" s="13" t="inlineStr"/>
      <c r="P167" s="14" t="inlineStr"/>
    </row>
    <row r="168">
      <c r="A168" s="8" t="inlineStr">
        <is>
          <t>TC-SPL-302</t>
        </is>
      </c>
      <c r="B168" s="9" t="inlineStr">
        <is>
          <t>Order Splitting</t>
        </is>
      </c>
      <c r="C168" s="9" t="inlineStr">
        <is>
          <t>Over limit</t>
        </is>
      </c>
      <c r="D168" s="10" t="inlineStr">
        <is>
          <t>An oversized order is split invisibly into valid child orders</t>
        </is>
      </c>
      <c r="E168" s="9" t="inlineStr">
        <is>
          <t>P1 - Critical</t>
        </is>
      </c>
      <c r="F168" s="9" t="inlineStr">
        <is>
          <t>Integration</t>
        </is>
      </c>
      <c r="G168" s="10" t="inlineStr">
        <is>
          <t>Live mode with a per-order limit of 27 lots.</t>
        </is>
      </c>
      <c r="H168" s="10" t="inlineStr">
        <is>
          <t>1. Place an order for 60 lots
2. Check the Order Book and the broker terminal</t>
        </is>
      </c>
      <c r="I168" s="10" t="inlineStr">
        <is>
          <t>60 lots (limit 27)</t>
        </is>
      </c>
      <c r="J168" s="10" t="inlineStr">
        <is>
          <t>The user sees ONE logical order in Charticks; the broker receives 27 + 27 + 6 lots. No child carries a partial lot.</t>
        </is>
      </c>
      <c r="K168" s="10" t="inlineStr"/>
      <c r="L168" s="11" t="inlineStr">
        <is>
          <t>Not Run</t>
        </is>
      </c>
      <c r="M168" s="9" t="inlineStr"/>
      <c r="N168" s="9" t="inlineStr"/>
      <c r="O168" s="9" t="inlineStr"/>
      <c r="P168" s="10" t="inlineStr"/>
    </row>
    <row r="169">
      <c r="A169" s="12" t="inlineStr">
        <is>
          <t>TC-SPL-303</t>
        </is>
      </c>
      <c r="B169" s="13" t="inlineStr">
        <is>
          <t>Order Splitting</t>
        </is>
      </c>
      <c r="C169" s="13" t="inlineStr">
        <is>
          <t>Partial failure</t>
        </is>
      </c>
      <c r="D169" s="14" t="inlineStr">
        <is>
          <t>If a child order fails, the remainder is reported, not fired blindly</t>
        </is>
      </c>
      <c r="E169" s="13" t="inlineStr">
        <is>
          <t>P1 - Critical</t>
        </is>
      </c>
      <c r="F169" s="13" t="inlineStr">
        <is>
          <t>Negative</t>
        </is>
      </c>
      <c r="G169" s="14" t="inlineStr">
        <is>
          <t>Live mode; force a failure part-way (e.g. insufficient margin).</t>
        </is>
      </c>
      <c r="H169" s="14" t="inlineStr">
        <is>
          <t>1. Place an oversized order that will fail after the first child</t>
        </is>
      </c>
      <c r="I169" s="14" t="inlineStr">
        <is>
          <t>-</t>
        </is>
      </c>
      <c r="J169" s="14" t="inlineStr">
        <is>
          <t>Charticks stops, states how much executed and how much remains, and offers to retry only the remaining quantity.</t>
        </is>
      </c>
      <c r="K169" s="14" t="inlineStr"/>
      <c r="L169" s="15" t="inlineStr">
        <is>
          <t>Not Run</t>
        </is>
      </c>
      <c r="M169" s="13" t="inlineStr"/>
      <c r="N169" s="13" t="inlineStr"/>
      <c r="O169" s="13" t="inlineStr"/>
      <c r="P169" s="14" t="inlineStr"/>
    </row>
    <row r="170">
      <c r="A170" s="8" t="inlineStr">
        <is>
          <t>TC-SPL-304</t>
        </is>
      </c>
      <c r="B170" s="9" t="inlineStr">
        <is>
          <t>Order Splitting</t>
        </is>
      </c>
      <c r="C170" s="9" t="inlineStr">
        <is>
          <t>Retry</t>
        </is>
      </c>
      <c r="D170" s="10" t="inlineStr">
        <is>
          <t>The partial-fill dialog retries only the unexecuted quantity</t>
        </is>
      </c>
      <c r="E170" s="9" t="inlineStr">
        <is>
          <t>P2 - High</t>
        </is>
      </c>
      <c r="F170" s="9" t="inlineStr">
        <is>
          <t>Functional</t>
        </is>
      </c>
      <c r="G170" s="10" t="inlineStr">
        <is>
          <t>The partial-fill dialog from TC-SPL-303 is on screen.</t>
        </is>
      </c>
      <c r="H170" s="10" t="inlineStr">
        <is>
          <t>1. Click Retry</t>
        </is>
      </c>
      <c r="I170" s="10" t="inlineStr">
        <is>
          <t>-</t>
        </is>
      </c>
      <c r="J170" s="10" t="inlineStr">
        <is>
          <t>Only the remaining quantity is submitted - the already-executed part is not duplicated.</t>
        </is>
      </c>
      <c r="K170" s="10" t="inlineStr"/>
      <c r="L170" s="11" t="inlineStr">
        <is>
          <t>Not Run</t>
        </is>
      </c>
      <c r="M170" s="9" t="inlineStr"/>
      <c r="N170" s="9" t="inlineStr"/>
      <c r="O170" s="9" t="inlineStr"/>
      <c r="P170" s="10" t="inlineStr"/>
    </row>
    <row r="171">
      <c r="A171" s="12" t="inlineStr">
        <is>
          <t>TC-REL-301</t>
        </is>
      </c>
      <c r="B171" s="13" t="inlineStr">
        <is>
          <t>Reliability</t>
        </is>
      </c>
      <c r="C171" s="13" t="inlineStr">
        <is>
          <t>Restart</t>
        </is>
      </c>
      <c r="D171" s="14" t="inlineStr">
        <is>
          <t>Positions and orders survive a UI reload</t>
        </is>
      </c>
      <c r="E171" s="13" t="inlineStr">
        <is>
          <t>P1 - Critical</t>
        </is>
      </c>
      <c r="F171" s="13" t="inlineStr">
        <is>
          <t>Integration</t>
        </is>
      </c>
      <c r="G171" s="14" t="inlineStr">
        <is>
          <t>Trading mode badge shows 'Paper'. Market is open and a broker is connected. One open position and one working order exist.</t>
        </is>
      </c>
      <c r="H171" s="14" t="inlineStr">
        <is>
          <t>1. Press Ctrl+R (or close and reopen the window)
2. Wait for the app to load</t>
        </is>
      </c>
      <c r="I171" s="14" t="inlineStr">
        <is>
          <t>-</t>
        </is>
      </c>
      <c r="J171" s="14" t="inlineStr">
        <is>
          <t>The same position and working order are repainted from the engine - the screen is not left blank.</t>
        </is>
      </c>
      <c r="K171" s="14" t="inlineStr"/>
      <c r="L171" s="15" t="inlineStr">
        <is>
          <t>Not Run</t>
        </is>
      </c>
      <c r="M171" s="13" t="inlineStr"/>
      <c r="N171" s="13" t="inlineStr"/>
      <c r="O171" s="13" t="inlineStr"/>
      <c r="P171" s="14" t="inlineStr"/>
    </row>
    <row r="172">
      <c r="A172" s="8" t="inlineStr">
        <is>
          <t>TC-REL-302</t>
        </is>
      </c>
      <c r="B172" s="9" t="inlineStr">
        <is>
          <t>Reliability</t>
        </is>
      </c>
      <c r="C172" s="9" t="inlineStr">
        <is>
          <t>Engine restart</t>
        </is>
      </c>
      <c r="D172" s="10" t="inlineStr">
        <is>
          <t>The UI reconnects automatically when the engine restarts</t>
        </is>
      </c>
      <c r="E172" s="9" t="inlineStr">
        <is>
          <t>P1 - Critical</t>
        </is>
      </c>
      <c r="F172" s="9" t="inlineStr">
        <is>
          <t>Integration</t>
        </is>
      </c>
      <c r="G172" s="10" t="inlineStr">
        <is>
          <t>Charticks is installed and open; sidecar (engine) is running.</t>
        </is>
      </c>
      <c r="H172" s="10" t="inlineStr">
        <is>
          <t>1. Stop the sidecar / engine process
2. Watch the bridge indicator
3. Start it again</t>
        </is>
      </c>
      <c r="I172" s="10" t="inlineStr">
        <is>
          <t>-</t>
        </is>
      </c>
      <c r="J172" s="10" t="inlineStr">
        <is>
          <t>The indicator drops to 'Connecting...' and returns to 'Bridge live' by itself, with no user action.</t>
        </is>
      </c>
      <c r="K172" s="10" t="inlineStr"/>
      <c r="L172" s="11" t="inlineStr">
        <is>
          <t>Not Run</t>
        </is>
      </c>
      <c r="M172" s="9" t="inlineStr"/>
      <c r="N172" s="9" t="inlineStr"/>
      <c r="O172" s="9" t="inlineStr"/>
      <c r="P172" s="10" t="inlineStr"/>
    </row>
    <row r="173">
      <c r="A173" s="12" t="inlineStr">
        <is>
          <t>TC-REL-303</t>
        </is>
      </c>
      <c r="B173" s="13" t="inlineStr">
        <is>
          <t>Reliability</t>
        </is>
      </c>
      <c r="C173" s="13" t="inlineStr">
        <is>
          <t>Network</t>
        </is>
      </c>
      <c r="D173" s="14" t="inlineStr">
        <is>
          <t>Losing and regaining the network recovers the feed</t>
        </is>
      </c>
      <c r="E173" s="13" t="inlineStr">
        <is>
          <t>P1 - Critical</t>
        </is>
      </c>
      <c r="F173" s="13" t="inlineStr">
        <is>
          <t>Integration</t>
        </is>
      </c>
      <c r="G173" s="14" t="inlineStr">
        <is>
          <t>A broker account is connected (status dot green) and index prices are ticking.</t>
        </is>
      </c>
      <c r="H173" s="14" t="inlineStr">
        <is>
          <t>1. Turn Wi-Fi off for one minute
2. Turn it back on
3. Watch the index tiles</t>
        </is>
      </c>
      <c r="I173" s="14" t="inlineStr">
        <is>
          <t>-</t>
        </is>
      </c>
      <c r="J173" s="14" t="inlineStr">
        <is>
          <t>Prices stop, the badge shows the problem, and prices resume within about a minute of the network returning.</t>
        </is>
      </c>
      <c r="K173" s="14" t="inlineStr"/>
      <c r="L173" s="15" t="inlineStr">
        <is>
          <t>Not Run</t>
        </is>
      </c>
      <c r="M173" s="13" t="inlineStr"/>
      <c r="N173" s="13" t="inlineStr"/>
      <c r="O173" s="13" t="inlineStr"/>
      <c r="P173" s="14" t="inlineStr"/>
    </row>
    <row r="174">
      <c r="A174" s="8" t="inlineStr">
        <is>
          <t>TC-REL-304</t>
        </is>
      </c>
      <c r="B174" s="9" t="inlineStr">
        <is>
          <t>Reliability</t>
        </is>
      </c>
      <c r="C174" s="9" t="inlineStr">
        <is>
          <t>Session expiry</t>
        </is>
      </c>
      <c r="D174" s="10" t="inlineStr">
        <is>
          <t>An expired broker session is reported, not hidden</t>
        </is>
      </c>
      <c r="E174" s="9" t="inlineStr">
        <is>
          <t>P2 - High</t>
        </is>
      </c>
      <c r="F174" s="9" t="inlineStr">
        <is>
          <t>Negative</t>
        </is>
      </c>
      <c r="G174" s="10" t="inlineStr">
        <is>
          <t>A broker session that has expired (many brokers expire daily).</t>
        </is>
      </c>
      <c r="H174" s="10" t="inlineStr">
        <is>
          <t>1. Leave the app connected past the broker's session expiry
2. Read the broker row and badge</t>
        </is>
      </c>
      <c r="I174" s="10" t="inlineStr">
        <is>
          <t>-</t>
        </is>
      </c>
      <c r="J174" s="10" t="inlineStr">
        <is>
          <t>The account shows an expired/auth-failed state with a readable reason, rather than a green dot with no data.</t>
        </is>
      </c>
      <c r="K174" s="10" t="inlineStr"/>
      <c r="L174" s="11" t="inlineStr">
        <is>
          <t>Not Run</t>
        </is>
      </c>
      <c r="M174" s="9" t="inlineStr"/>
      <c r="N174" s="9" t="inlineStr"/>
      <c r="O174" s="9" t="inlineStr"/>
      <c r="P174" s="10" t="inlineStr"/>
    </row>
    <row r="175">
      <c r="A175" s="12" t="inlineStr">
        <is>
          <t>TC-REL-305</t>
        </is>
      </c>
      <c r="B175" s="13" t="inlineStr">
        <is>
          <t>Reliability</t>
        </is>
      </c>
      <c r="C175" s="13" t="inlineStr">
        <is>
          <t>Long run</t>
        </is>
      </c>
      <c r="D175" s="14" t="inlineStr">
        <is>
          <t>The app stays stable and responsive over a full session</t>
        </is>
      </c>
      <c r="E175" s="13" t="inlineStr">
        <is>
          <t>P2 - High</t>
        </is>
      </c>
      <c r="F175" s="13" t="inlineStr">
        <is>
          <t>Functional</t>
        </is>
      </c>
      <c r="G175" s="14" t="inlineStr">
        <is>
          <t>A broker account is connected (status dot green) and index prices are ticking.</t>
        </is>
      </c>
      <c r="H175" s="14" t="inlineStr">
        <is>
          <t>1. Leave Charticks open from 09:15 to 15:30 with the chain streaming
2. Interact with it every hour</t>
        </is>
      </c>
      <c r="I175" s="14" t="inlineStr">
        <is>
          <t>-</t>
        </is>
      </c>
      <c r="J175" s="14" t="inlineStr">
        <is>
          <t>No crash, no freeze, no runaway memory growth; prices still update and screens still switch at the end of the day.</t>
        </is>
      </c>
      <c r="K175" s="14" t="inlineStr"/>
      <c r="L175" s="15" t="inlineStr">
        <is>
          <t>Not Run</t>
        </is>
      </c>
      <c r="M175" s="13" t="inlineStr"/>
      <c r="N175" s="13" t="inlineStr"/>
      <c r="O175" s="13" t="inlineStr"/>
      <c r="P175" s="14" t="inlineStr"/>
    </row>
    <row r="176">
      <c r="A176" s="8" t="inlineStr">
        <is>
          <t>TC-SEC-301</t>
        </is>
      </c>
      <c r="B176" s="9" t="inlineStr">
        <is>
          <t>Security</t>
        </is>
      </c>
      <c r="C176" s="9" t="inlineStr">
        <is>
          <t>Local API</t>
        </is>
      </c>
      <c r="D176" s="10" t="inlineStr">
        <is>
          <t>The engine rejects requests without the correct token</t>
        </is>
      </c>
      <c r="E176" s="9" t="inlineStr">
        <is>
          <t>P1 - Critical</t>
        </is>
      </c>
      <c r="F176" s="9" t="inlineStr">
        <is>
          <t>Security</t>
        </is>
      </c>
      <c r="G176" s="10" t="inlineStr">
        <is>
          <t>The engine is running; a tool such as curl is available.</t>
        </is>
      </c>
      <c r="H176" s="10" t="inlineStr">
        <is>
          <t>1. Run: curl http://127.0.0.1:8787/option-chain
2. Run it again with a wrong token: curl -H "Authorization: Bearer wrong" http://127.0.0.1:8787/option-chain</t>
        </is>
      </c>
      <c r="I176" s="10" t="inlineStr">
        <is>
          <t>No token / wrong token</t>
        </is>
      </c>
      <c r="J176" s="10" t="inlineStr">
        <is>
          <t>Both return HTTP 401 Unauthorized. No market data is returned.</t>
        </is>
      </c>
      <c r="K176" s="10" t="inlineStr"/>
      <c r="L176" s="11" t="inlineStr">
        <is>
          <t>Not Run</t>
        </is>
      </c>
      <c r="M176" s="9" t="inlineStr"/>
      <c r="N176" s="9" t="inlineStr"/>
      <c r="O176" s="9" t="inlineStr"/>
      <c r="P176" s="10" t="inlineStr"/>
    </row>
    <row r="177">
      <c r="A177" s="12" t="inlineStr">
        <is>
          <t>TC-SEC-302</t>
        </is>
      </c>
      <c r="B177" s="13" t="inlineStr">
        <is>
          <t>Security</t>
        </is>
      </c>
      <c r="C177" s="13" t="inlineStr">
        <is>
          <t>Local API</t>
        </is>
      </c>
      <c r="D177" s="14" t="inlineStr">
        <is>
          <t>The health endpoint is safe to expose</t>
        </is>
      </c>
      <c r="E177" s="13" t="inlineStr">
        <is>
          <t>P3 - Medium</t>
        </is>
      </c>
      <c r="F177" s="13" t="inlineStr">
        <is>
          <t>Security</t>
        </is>
      </c>
      <c r="G177" s="14" t="inlineStr">
        <is>
          <t>The engine is running.</t>
        </is>
      </c>
      <c r="H177" s="14" t="inlineStr">
        <is>
          <t>1. Run: curl http://127.0.0.1:8787/health</t>
        </is>
      </c>
      <c r="I177" s="14" t="inlineStr">
        <is>
          <t>-</t>
        </is>
      </c>
      <c r="J177" s="14" t="inlineStr">
        <is>
          <t>It returns only service name / version / ok - no account, credential or position data.</t>
        </is>
      </c>
      <c r="K177" s="14" t="inlineStr"/>
      <c r="L177" s="15" t="inlineStr">
        <is>
          <t>Not Run</t>
        </is>
      </c>
      <c r="M177" s="13" t="inlineStr"/>
      <c r="N177" s="13" t="inlineStr"/>
      <c r="O177" s="13" t="inlineStr"/>
      <c r="P177" s="14" t="inlineStr"/>
    </row>
    <row r="178">
      <c r="A178" s="8" t="inlineStr">
        <is>
          <t>TC-SEC-303</t>
        </is>
      </c>
      <c r="B178" s="9" t="inlineStr">
        <is>
          <t>Security</t>
        </is>
      </c>
      <c r="C178" s="9" t="inlineStr">
        <is>
          <t>WebSocket</t>
        </is>
      </c>
      <c r="D178" s="10" t="inlineStr">
        <is>
          <t>The data stream rejects a wrong token</t>
        </is>
      </c>
      <c r="E178" s="9" t="inlineStr">
        <is>
          <t>P1 - Critical</t>
        </is>
      </c>
      <c r="F178" s="9" t="inlineStr">
        <is>
          <t>Security</t>
        </is>
      </c>
      <c r="G178" s="10" t="inlineStr">
        <is>
          <t>The engine is running.</t>
        </is>
      </c>
      <c r="H178" s="10" t="inlineStr">
        <is>
          <t>1. Attempt to connect to ws://127.0.0.1:8787/stream?token=wrong</t>
        </is>
      </c>
      <c r="I178" s="10" t="inlineStr">
        <is>
          <t>wrong token</t>
        </is>
      </c>
      <c r="J178" s="10" t="inlineStr">
        <is>
          <t>The connection is refused / closed immediately with no data sent.</t>
        </is>
      </c>
      <c r="K178" s="10" t="inlineStr"/>
      <c r="L178" s="11" t="inlineStr">
        <is>
          <t>Not Run</t>
        </is>
      </c>
      <c r="M178" s="9" t="inlineStr"/>
      <c r="N178" s="9" t="inlineStr"/>
      <c r="O178" s="9" t="inlineStr"/>
      <c r="P178" s="10" t="inlineStr"/>
    </row>
    <row r="179">
      <c r="A179" s="12" t="inlineStr">
        <is>
          <t>TC-SEC-304</t>
        </is>
      </c>
      <c r="B179" s="13" t="inlineStr">
        <is>
          <t>Security</t>
        </is>
      </c>
      <c r="C179" s="13" t="inlineStr">
        <is>
          <t>Credentials</t>
        </is>
      </c>
      <c r="D179" s="14" t="inlineStr">
        <is>
          <t>Credentials are stored encrypted, not in plain text</t>
        </is>
      </c>
      <c r="E179" s="13" t="inlineStr">
        <is>
          <t>P1 - Critical</t>
        </is>
      </c>
      <c r="F179" s="13" t="inlineStr">
        <is>
          <t>Security</t>
        </is>
      </c>
      <c r="G179" s="14" t="inlineStr">
        <is>
          <t>A broker account has been saved in the installed app.</t>
        </is>
      </c>
      <c r="H179" s="14" t="inlineStr">
        <is>
          <t>1. Search the app's data folder for the password / API key you entered</t>
        </is>
      </c>
      <c r="I179" s="14" t="inlineStr">
        <is>
          <t>-</t>
        </is>
      </c>
      <c r="J179" s="14" t="inlineStr">
        <is>
          <t>The secret value cannot be found in plain text on disk.</t>
        </is>
      </c>
      <c r="K179" s="14" t="inlineStr"/>
      <c r="L179" s="15" t="inlineStr">
        <is>
          <t>Not Run</t>
        </is>
      </c>
      <c r="M179" s="13" t="inlineStr"/>
      <c r="N179" s="13" t="inlineStr"/>
      <c r="O179" s="13" t="inlineStr"/>
      <c r="P179" s="14" t="inlineStr"/>
    </row>
    <row r="180">
      <c r="A180" s="8" t="inlineStr">
        <is>
          <t>TC-SEC-305</t>
        </is>
      </c>
      <c r="B180" s="9" t="inlineStr">
        <is>
          <t>Security</t>
        </is>
      </c>
      <c r="C180" s="9" t="inlineStr">
        <is>
          <t>Screenshots</t>
        </is>
      </c>
      <c r="D180" s="10" t="inlineStr">
        <is>
          <t>Credentials are masked so screenshots are safe to share</t>
        </is>
      </c>
      <c r="E180" s="9" t="inlineStr">
        <is>
          <t>P2 - High</t>
        </is>
      </c>
      <c r="F180" s="9" t="inlineStr">
        <is>
          <t>Security</t>
        </is>
      </c>
      <c r="G180" s="10" t="inlineStr">
        <is>
          <t>A broker account exists.</t>
        </is>
      </c>
      <c r="H180" s="10" t="inlineStr">
        <is>
          <t>1. Open Edit Credentials and take a screenshot</t>
        </is>
      </c>
      <c r="I180" s="10" t="inlineStr">
        <is>
          <t>-</t>
        </is>
      </c>
      <c r="J180" s="10" t="inlineStr">
        <is>
          <t>No secret is readable in the screenshot.</t>
        </is>
      </c>
      <c r="K180" s="10" t="inlineStr"/>
      <c r="L180" s="11" t="inlineStr">
        <is>
          <t>Not Run</t>
        </is>
      </c>
      <c r="M180" s="9" t="inlineStr"/>
      <c r="N180" s="9" t="inlineStr"/>
      <c r="O180" s="9" t="inlineStr"/>
      <c r="P180" s="10" t="inlineStr"/>
    </row>
    <row r="181">
      <c r="A181" s="12" t="inlineStr">
        <is>
          <t>TC-USE-301</t>
        </is>
      </c>
      <c r="B181" s="13" t="inlineStr">
        <is>
          <t>Usability</t>
        </is>
      </c>
      <c r="C181" s="13" t="inlineStr">
        <is>
          <t>Errors</t>
        </is>
      </c>
      <c r="D181" s="14" t="inlineStr">
        <is>
          <t>No raw technical errors are shown to the user</t>
        </is>
      </c>
      <c r="E181" s="13" t="inlineStr">
        <is>
          <t>P2 - High</t>
        </is>
      </c>
      <c r="F181" s="13" t="inlineStr">
        <is>
          <t>UI / UX</t>
        </is>
      </c>
      <c r="G181" s="14" t="inlineStr">
        <is>
          <t>Charticks is installed and open; sidecar (engine) is running.</t>
        </is>
      </c>
      <c r="H181" s="14" t="inlineStr">
        <is>
          <t>1. Exercise the negative cases in this suite (bad price, bad lots, duplicate order, closed market)</t>
        </is>
      </c>
      <c r="I181" s="14" t="inlineStr">
        <is>
          <t>-</t>
        </is>
      </c>
      <c r="J181" s="14" t="inlineStr">
        <is>
          <t>Every message is plain English. No stack traces, JSON blobs or HTTP status codes are shown.</t>
        </is>
      </c>
      <c r="K181" s="14" t="inlineStr"/>
      <c r="L181" s="15" t="inlineStr">
        <is>
          <t>Not Run</t>
        </is>
      </c>
      <c r="M181" s="13" t="inlineStr"/>
      <c r="N181" s="13" t="inlineStr"/>
      <c r="O181" s="13" t="inlineStr"/>
      <c r="P181" s="14" t="inlineStr"/>
    </row>
    <row r="182">
      <c r="A182" s="8" t="inlineStr">
        <is>
          <t>TC-USE-302</t>
        </is>
      </c>
      <c r="B182" s="9" t="inlineStr">
        <is>
          <t>Usability</t>
        </is>
      </c>
      <c r="C182" s="9" t="inlineStr">
        <is>
          <t>Console</t>
        </is>
      </c>
      <c r="D182" s="10" t="inlineStr">
        <is>
          <t>No errors appear in the developer console during normal use</t>
        </is>
      </c>
      <c r="E182" s="9" t="inlineStr">
        <is>
          <t>P3 - Medium</t>
        </is>
      </c>
      <c r="F182" s="9" t="inlineStr">
        <is>
          <t>UI / UX</t>
        </is>
      </c>
      <c r="G182" s="10" t="inlineStr">
        <is>
          <t>Developer tools can be opened.</t>
        </is>
      </c>
      <c r="H182" s="10" t="inlineStr">
        <is>
          <t>1. Open the console
2. Navigate all screens and place / cancel a paper order</t>
        </is>
      </c>
      <c r="I182" s="10" t="inlineStr">
        <is>
          <t>-</t>
        </is>
      </c>
      <c r="J182" s="10" t="inlineStr">
        <is>
          <t>No red errors are logged.</t>
        </is>
      </c>
      <c r="K182" s="10" t="inlineStr"/>
      <c r="L182" s="11" t="inlineStr">
        <is>
          <t>Not Run</t>
        </is>
      </c>
      <c r="M182" s="9" t="inlineStr"/>
      <c r="N182" s="9" t="inlineStr"/>
      <c r="O182" s="9" t="inlineStr"/>
      <c r="P182" s="10" t="inlineStr"/>
    </row>
    <row r="183">
      <c r="A183" s="12" t="inlineStr">
        <is>
          <t>TC-USE-303</t>
        </is>
      </c>
      <c r="B183" s="13" t="inlineStr">
        <is>
          <t>Usability</t>
        </is>
      </c>
      <c r="C183" s="13" t="inlineStr">
        <is>
          <t>Layout</t>
        </is>
      </c>
      <c r="D183" s="14" t="inlineStr">
        <is>
          <t>The layout holds together when the window is resized</t>
        </is>
      </c>
      <c r="E183" s="13" t="inlineStr">
        <is>
          <t>P2 - High</t>
        </is>
      </c>
      <c r="F183" s="13" t="inlineStr">
        <is>
          <t>UI / UX</t>
        </is>
      </c>
      <c r="G183" s="14" t="inlineStr">
        <is>
          <t>Charticks is installed and open; sidecar (engine) is running.</t>
        </is>
      </c>
      <c r="H183" s="14" t="inlineStr">
        <is>
          <t>1. Resize the window from full screen down to about half width
2. Check every screen</t>
        </is>
      </c>
      <c r="I183" s="14" t="inlineStr">
        <is>
          <t>-</t>
        </is>
      </c>
      <c r="J183" s="14" t="inlineStr">
        <is>
          <t>Panels reflow without overlapping text, clipped buttons or a horizontally scrolling page.</t>
        </is>
      </c>
      <c r="K183" s="14" t="inlineStr"/>
      <c r="L183" s="15" t="inlineStr">
        <is>
          <t>Not Run</t>
        </is>
      </c>
      <c r="M183" s="13" t="inlineStr"/>
      <c r="N183" s="13" t="inlineStr"/>
      <c r="O183" s="13" t="inlineStr"/>
      <c r="P183" s="14" t="inlineStr"/>
    </row>
    <row r="184">
      <c r="A184" s="8" t="inlineStr">
        <is>
          <t>TC-USE-304</t>
        </is>
      </c>
      <c r="B184" s="9" t="inlineStr">
        <is>
          <t>Usability</t>
        </is>
      </c>
      <c r="C184" s="9" t="inlineStr">
        <is>
          <t>Numbers</t>
        </is>
      </c>
      <c r="D184" s="10" t="inlineStr">
        <is>
          <t>Money and quantities use consistent Indian formatting</t>
        </is>
      </c>
      <c r="E184" s="9" t="inlineStr">
        <is>
          <t>P3 - Medium</t>
        </is>
      </c>
      <c r="F184" s="9" t="inlineStr">
        <is>
          <t>UI / UX</t>
        </is>
      </c>
      <c r="G184" s="10" t="inlineStr">
        <is>
          <t>Positions with P&amp;L exist.</t>
        </is>
      </c>
      <c r="H184" s="10" t="inlineStr">
        <is>
          <t>1. Read the P&amp;L and limit values across the app</t>
        </is>
      </c>
      <c r="I184" s="10" t="inlineStr">
        <is>
          <t>-</t>
        </is>
      </c>
      <c r="J184" s="10" t="inlineStr">
        <is>
          <t>Amounts use the rupee symbol and Indian digit grouping (e.g. Rs 1,00,000), consistently in every panel.</t>
        </is>
      </c>
      <c r="K184" s="10" t="inlineStr"/>
      <c r="L184" s="11" t="inlineStr">
        <is>
          <t>Not Run</t>
        </is>
      </c>
      <c r="M184" s="9" t="inlineStr"/>
      <c r="N184" s="9" t="inlineStr"/>
      <c r="O184" s="9" t="inlineStr"/>
      <c r="P184" s="10" t="inlineStr"/>
    </row>
    <row r="185">
      <c r="A185" s="12" t="inlineStr">
        <is>
          <t>TC-USE-305</t>
        </is>
      </c>
      <c r="B185" s="13" t="inlineStr">
        <is>
          <t>Usability</t>
        </is>
      </c>
      <c r="C185" s="13" t="inlineStr">
        <is>
          <t>Regression</t>
        </is>
      </c>
      <c r="D185" s="14" t="inlineStr">
        <is>
          <t>A full happy-path trade cycle works end to end</t>
        </is>
      </c>
      <c r="E185" s="13" t="inlineStr">
        <is>
          <t>P1 - Critical</t>
        </is>
      </c>
      <c r="F185" s="13" t="inlineStr">
        <is>
          <t>Integration</t>
        </is>
      </c>
      <c r="G185" s="14" t="inlineStr">
        <is>
          <t>Trading mode badge shows 'Paper'. Market is open and a broker is connected.</t>
        </is>
      </c>
      <c r="H185" s="14" t="inlineStr">
        <is>
          <t>1. Connect a broker
2. Pick an index and expiry
3. Buy 1 lot at market
4. Edit the SL
5. Add a lot
6. Exit 50%
7. Square off the rest
8. Check Orders and Trade Book</t>
        </is>
      </c>
      <c r="I185" s="14" t="inlineStr">
        <is>
          <t>-</t>
        </is>
      </c>
      <c r="J185" s="14" t="inlineStr">
        <is>
          <t>Every step behaves as specified above and the order/trade history matches exactly what was done, with quantities and P&amp;L consistent throughout.</t>
        </is>
      </c>
      <c r="K185" s="14" t="inlineStr"/>
      <c r="L185" s="15" t="inlineStr">
        <is>
          <t>Not Run</t>
        </is>
      </c>
      <c r="M185" s="13" t="inlineStr"/>
      <c r="N185" s="13" t="inlineStr"/>
      <c r="O185" s="13" t="inlineStr"/>
      <c r="P185" s="14" t="inlineStr"/>
    </row>
  </sheetData>
  <autoFilter ref="A1:P185"/>
  <dataValidations count="2">
    <dataValidation sqref="L2:L185" showDropDown="0" showInputMessage="0" showErrorMessage="0" allowBlank="1" type="list">
      <formula1>"Pass,Fail,Blocked,Not Run,N/A"</formula1>
    </dataValidation>
    <dataValidation sqref="M2:M185" showDropDown="0" showInputMessage="0" showErrorMessage="0" allowBlank="1"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D38"/>
  <sheetViews>
    <sheetView workbookViewId="0">
      <selection activeCell="A1" sqref="A1"/>
    </sheetView>
  </sheetViews>
  <sheetFormatPr baseColWidth="8" defaultRowHeight="15"/>
  <cols>
    <col width="4" customWidth="1" min="1" max="1"/>
    <col width="34" customWidth="1" min="2" max="2"/>
    <col width="18" customWidth="1" min="3" max="3"/>
    <col width="18" customWidth="1" min="4" max="4"/>
  </cols>
  <sheetData>
    <row r="2">
      <c r="B2" s="1" t="inlineStr">
        <is>
          <t>Execution Summary</t>
        </is>
      </c>
    </row>
    <row r="4">
      <c r="B4" s="4" t="inlineStr">
        <is>
          <t>Total test cases</t>
        </is>
      </c>
      <c r="C4" s="16" t="n">
        <v>184</v>
      </c>
    </row>
    <row r="5">
      <c r="B5" t="inlineStr">
        <is>
          <t>Pass</t>
        </is>
      </c>
      <c r="C5" s="16">
        <f>COUNTIF('Test Cases'!L2:L185,"Pass")</f>
        <v/>
      </c>
    </row>
    <row r="6">
      <c r="B6" t="inlineStr">
        <is>
          <t>Fail</t>
        </is>
      </c>
      <c r="C6" s="16">
        <f>COUNTIF('Test Cases'!L2:L185,"Fail")</f>
        <v/>
      </c>
    </row>
    <row r="7">
      <c r="B7" t="inlineStr">
        <is>
          <t>Blocked</t>
        </is>
      </c>
      <c r="C7" s="16">
        <f>COUNTIF('Test Cases'!L2:L185,"Blocked")</f>
        <v/>
      </c>
    </row>
    <row r="8">
      <c r="B8" t="inlineStr">
        <is>
          <t>Not Run</t>
        </is>
      </c>
      <c r="C8" s="16">
        <f>COUNTIF('Test Cases'!L2:L185,"Not Run")</f>
        <v/>
      </c>
    </row>
    <row r="9">
      <c r="B9" t="inlineStr">
        <is>
          <t>N/A</t>
        </is>
      </c>
      <c r="C9" s="16">
        <f>COUNTIF('Test Cases'!L2:L185,"N/A")</f>
        <v/>
      </c>
    </row>
    <row r="10">
      <c r="B10" t="inlineStr">
        <is>
          <t>Pass rate (of executed)</t>
        </is>
      </c>
      <c r="C10" s="17">
        <f>IFERROR(COUNTIF('Test Cases'!L2:L185,"Pass")/(COUNTIF('Test Cases'!L2:L185,"Pass")+COUNTIF('Test Cases'!L2:L185,"Fail")),"-")</f>
        <v/>
      </c>
    </row>
    <row r="11">
      <c r="C11" s="16" t="n"/>
    </row>
    <row r="12">
      <c r="B12" s="18" t="inlineStr">
        <is>
          <t>Failures by severity</t>
        </is>
      </c>
      <c r="C12" s="16" t="n"/>
    </row>
    <row r="13">
      <c r="B13" t="inlineStr">
        <is>
          <t>Critical</t>
        </is>
      </c>
      <c r="C13" s="16">
        <f>COUNTIFS('Test Cases'!L2:L185,"Fail",'Test Cases'!M2:M185,"Critical")</f>
        <v/>
      </c>
    </row>
    <row r="14">
      <c r="B14" t="inlineStr">
        <is>
          <t>High</t>
        </is>
      </c>
      <c r="C14" s="16">
        <f>COUNTIFS('Test Cases'!L2:L185,"Fail",'Test Cases'!M2:M185,"High")</f>
        <v/>
      </c>
    </row>
    <row r="15">
      <c r="B15" t="inlineStr">
        <is>
          <t>Medium</t>
        </is>
      </c>
      <c r="C15" s="16">
        <f>COUNTIFS('Test Cases'!L2:L185,"Fail",'Test Cases'!M2:M185,"Medium")</f>
        <v/>
      </c>
    </row>
    <row r="16">
      <c r="B16" t="inlineStr">
        <is>
          <t>Low</t>
        </is>
      </c>
      <c r="C16" s="16">
        <f>COUNTIFS('Test Cases'!L2:L185,"Fail",'Test Cases'!M2:M185,"Low")</f>
        <v/>
      </c>
    </row>
    <row r="17">
      <c r="C17" s="16" t="n"/>
    </row>
    <row r="18">
      <c r="B18" s="18" t="inlineStr">
        <is>
          <t>Cases by module</t>
        </is>
      </c>
      <c r="C18" s="16" t="n"/>
      <c r="D18" s="4" t="inlineStr">
        <is>
          <t>Passed</t>
        </is>
      </c>
    </row>
    <row r="19">
      <c r="B19" t="inlineStr">
        <is>
          <t>Installation</t>
        </is>
      </c>
      <c r="C19" s="16">
        <f>COUNTIF('Test Cases'!B2:B185,"Installation")</f>
        <v/>
      </c>
      <c r="D19">
        <f>COUNTIFS('Test Cases'!B2:B185,"Installation",'Test Cases'!L2:L185,"Pass")</f>
        <v/>
      </c>
    </row>
    <row r="20">
      <c r="B20" t="inlineStr">
        <is>
          <t>App Shell</t>
        </is>
      </c>
      <c r="C20" s="16">
        <f>COUNTIF('Test Cases'!B2:B185,"App Shell")</f>
        <v/>
      </c>
      <c r="D20">
        <f>COUNTIFS('Test Cases'!B2:B185,"App Shell",'Test Cases'!L2:L185,"Pass")</f>
        <v/>
      </c>
    </row>
    <row r="21">
      <c r="B21" t="inlineStr">
        <is>
          <t>Brokers</t>
        </is>
      </c>
      <c r="C21" s="16">
        <f>COUNTIF('Test Cases'!B2:B185,"Brokers")</f>
        <v/>
      </c>
      <c r="D21">
        <f>COUNTIFS('Test Cases'!B2:B185,"Brokers",'Test Cases'!L2:L185,"Pass")</f>
        <v/>
      </c>
    </row>
    <row r="22">
      <c r="B22" t="inlineStr">
        <is>
          <t>Market Data</t>
        </is>
      </c>
      <c r="C22" s="16">
        <f>COUNTIF('Test Cases'!B2:B185,"Market Data")</f>
        <v/>
      </c>
      <c r="D22">
        <f>COUNTIFS('Test Cases'!B2:B185,"Market Data",'Test Cases'!L2:L185,"Pass")</f>
        <v/>
      </c>
    </row>
    <row r="23">
      <c r="B23" t="inlineStr">
        <is>
          <t>Option Chain</t>
        </is>
      </c>
      <c r="C23" s="16">
        <f>COUNTIF('Test Cases'!B2:B185,"Option Chain")</f>
        <v/>
      </c>
      <c r="D23">
        <f>COUNTIFS('Test Cases'!B2:B185,"Option Chain",'Test Cases'!L2:L185,"Pass")</f>
        <v/>
      </c>
    </row>
    <row r="24">
      <c r="B24" t="inlineStr">
        <is>
          <t>Order Entry</t>
        </is>
      </c>
      <c r="C24" s="16">
        <f>COUNTIF('Test Cases'!B2:B185,"Order Entry")</f>
        <v/>
      </c>
      <c r="D24">
        <f>COUNTIFS('Test Cases'!B2:B185,"Order Entry",'Test Cases'!L2:L185,"Pass")</f>
        <v/>
      </c>
    </row>
    <row r="25">
      <c r="B25" t="inlineStr">
        <is>
          <t>Market Hours</t>
        </is>
      </c>
      <c r="C25" s="16">
        <f>COUNTIF('Test Cases'!B2:B185,"Market Hours")</f>
        <v/>
      </c>
      <c r="D25">
        <f>COUNTIFS('Test Cases'!B2:B185,"Market Hours",'Test Cases'!L2:L185,"Pass")</f>
        <v/>
      </c>
    </row>
    <row r="26">
      <c r="B26" t="inlineStr">
        <is>
          <t>Positions</t>
        </is>
      </c>
      <c r="C26" s="16">
        <f>COUNTIF('Test Cases'!B2:B185,"Positions")</f>
        <v/>
      </c>
      <c r="D26">
        <f>COUNTIFS('Test Cases'!B2:B185,"Positions",'Test Cases'!L2:L185,"Pass")</f>
        <v/>
      </c>
    </row>
    <row r="27">
      <c r="B27" t="inlineStr">
        <is>
          <t>Roll</t>
        </is>
      </c>
      <c r="C27" s="16">
        <f>COUNTIF('Test Cases'!B2:B185,"Roll")</f>
        <v/>
      </c>
      <c r="D27">
        <f>COUNTIFS('Test Cases'!B2:B185,"Roll",'Test Cases'!L2:L185,"Pass")</f>
        <v/>
      </c>
    </row>
    <row r="28">
      <c r="B28" t="inlineStr">
        <is>
          <t>Orders</t>
        </is>
      </c>
      <c r="C28" s="16">
        <f>COUNTIF('Test Cases'!B2:B185,"Orders")</f>
        <v/>
      </c>
      <c r="D28">
        <f>COUNTIFS('Test Cases'!B2:B185,"Orders",'Test Cases'!L2:L185,"Pass")</f>
        <v/>
      </c>
    </row>
    <row r="29">
      <c r="B29" t="inlineStr">
        <is>
          <t>Risk Rules</t>
        </is>
      </c>
      <c r="C29" s="16">
        <f>COUNTIF('Test Cases'!B2:B185,"Risk Rules")</f>
        <v/>
      </c>
      <c r="D29">
        <f>COUNTIFS('Test Cases'!B2:B185,"Risk Rules",'Test Cases'!L2:L185,"Pass")</f>
        <v/>
      </c>
    </row>
    <row r="30">
      <c r="B30" t="inlineStr">
        <is>
          <t>Portfolio Trail</t>
        </is>
      </c>
      <c r="C30" s="16">
        <f>COUNTIF('Test Cases'!B2:B185,"Portfolio Trail")</f>
        <v/>
      </c>
      <c r="D30">
        <f>COUNTIFS('Test Cases'!B2:B185,"Portfolio Trail",'Test Cases'!L2:L185,"Pass")</f>
        <v/>
      </c>
    </row>
    <row r="31">
      <c r="B31" t="inlineStr">
        <is>
          <t>Session Limits</t>
        </is>
      </c>
      <c r="C31" s="16">
        <f>COUNTIF('Test Cases'!B2:B185,"Session Limits")</f>
        <v/>
      </c>
      <c r="D31">
        <f>COUNTIFS('Test Cases'!B2:B185,"Session Limits",'Test Cases'!L2:L185,"Pass")</f>
        <v/>
      </c>
    </row>
    <row r="32">
      <c r="B32" t="inlineStr">
        <is>
          <t>Max Position</t>
        </is>
      </c>
      <c r="C32" s="16">
        <f>COUNTIF('Test Cases'!B2:B185,"Max Position")</f>
        <v/>
      </c>
      <c r="D32">
        <f>COUNTIFS('Test Cases'!B2:B185,"Max Position",'Test Cases'!L2:L185,"Pass")</f>
        <v/>
      </c>
    </row>
    <row r="33">
      <c r="B33" t="inlineStr">
        <is>
          <t>Settings</t>
        </is>
      </c>
      <c r="C33" s="16">
        <f>COUNTIF('Test Cases'!B2:B185,"Settings")</f>
        <v/>
      </c>
      <c r="D33">
        <f>COUNTIFS('Test Cases'!B2:B185,"Settings",'Test Cases'!L2:L185,"Pass")</f>
        <v/>
      </c>
    </row>
    <row r="34">
      <c r="B34" t="inlineStr">
        <is>
          <t>Trading Mode</t>
        </is>
      </c>
      <c r="C34" s="16">
        <f>COUNTIF('Test Cases'!B2:B185,"Trading Mode")</f>
        <v/>
      </c>
      <c r="D34">
        <f>COUNTIFS('Test Cases'!B2:B185,"Trading Mode",'Test Cases'!L2:L185,"Pass")</f>
        <v/>
      </c>
    </row>
    <row r="35">
      <c r="B35" t="inlineStr">
        <is>
          <t>Order Splitting</t>
        </is>
      </c>
      <c r="C35" s="16">
        <f>COUNTIF('Test Cases'!B2:B185,"Order Splitting")</f>
        <v/>
      </c>
      <c r="D35">
        <f>COUNTIFS('Test Cases'!B2:B185,"Order Splitting",'Test Cases'!L2:L185,"Pass")</f>
        <v/>
      </c>
    </row>
    <row r="36">
      <c r="B36" t="inlineStr">
        <is>
          <t>Reliability</t>
        </is>
      </c>
      <c r="C36" s="16">
        <f>COUNTIF('Test Cases'!B2:B185,"Reliability")</f>
        <v/>
      </c>
      <c r="D36">
        <f>COUNTIFS('Test Cases'!B2:B185,"Reliability",'Test Cases'!L2:L185,"Pass")</f>
        <v/>
      </c>
    </row>
    <row r="37">
      <c r="B37" t="inlineStr">
        <is>
          <t>Security</t>
        </is>
      </c>
      <c r="C37" s="16">
        <f>COUNTIF('Test Cases'!B2:B185,"Security")</f>
        <v/>
      </c>
      <c r="D37">
        <f>COUNTIFS('Test Cases'!B2:B185,"Security",'Test Cases'!L2:L185,"Pass")</f>
        <v/>
      </c>
    </row>
    <row r="38">
      <c r="B38" t="inlineStr">
        <is>
          <t>Usability</t>
        </is>
      </c>
      <c r="C38" s="16">
        <f>COUNTIF('Test Cases'!B2:B185,"Usability")</f>
        <v/>
      </c>
      <c r="D38">
        <f>COUNTIFS('Test Cases'!B2:B185,"Usability",'Test Cases'!L2:L185,"Pass")</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50" customWidth="1" min="4" max="4"/>
    <col width="12" customWidth="1" min="5" max="5"/>
    <col width="12" customWidth="1" min="6" max="6"/>
    <col width="60" customWidth="1" min="7" max="7"/>
    <col width="40" customWidth="1" min="8" max="8"/>
    <col width="40" customWidth="1" min="9" max="9"/>
    <col width="26" customWidth="1" min="10" max="10"/>
    <col width="16" customWidth="1" min="11" max="11"/>
    <col width="12" customWidth="1" min="12" max="12"/>
    <col width="14" customWidth="1" min="13" max="13"/>
    <col width="22" customWidth="1" min="14" max="14"/>
  </cols>
  <sheetData>
    <row r="1" ht="30" customHeight="1">
      <c r="A1" s="7" t="inlineStr">
        <is>
          <t>Defect ID</t>
        </is>
      </c>
      <c r="B1" s="7" t="inlineStr">
        <is>
          <t>Linked TC ID</t>
        </is>
      </c>
      <c r="C1" s="7" t="inlineStr">
        <is>
          <t>Module</t>
        </is>
      </c>
      <c r="D1" s="7" t="inlineStr">
        <is>
          <t>Summary</t>
        </is>
      </c>
      <c r="E1" s="7" t="inlineStr">
        <is>
          <t>Severity</t>
        </is>
      </c>
      <c r="F1" s="7" t="inlineStr">
        <is>
          <t>Priority</t>
        </is>
      </c>
      <c r="G1" s="7" t="inlineStr">
        <is>
          <t>Steps to Reproduce</t>
        </is>
      </c>
      <c r="H1" s="7" t="inlineStr">
        <is>
          <t>Expected</t>
        </is>
      </c>
      <c r="I1" s="7" t="inlineStr">
        <is>
          <t>Actual</t>
        </is>
      </c>
      <c r="J1" s="7" t="inlineStr">
        <is>
          <t>Environment</t>
        </is>
      </c>
      <c r="K1" s="7" t="inlineStr">
        <is>
          <t>Reported By</t>
        </is>
      </c>
      <c r="L1" s="7" t="inlineStr">
        <is>
          <t>Date</t>
        </is>
      </c>
      <c r="M1" s="7" t="inlineStr">
        <is>
          <t>Status</t>
        </is>
      </c>
      <c r="N1" s="7" t="inlineStr">
        <is>
          <t>Screenshot / Log attached</t>
        </is>
      </c>
    </row>
    <row r="2">
      <c r="A2" s="14" t="n"/>
      <c r="B2" s="14" t="n"/>
      <c r="C2" s="14" t="n"/>
      <c r="D2" s="14" t="n"/>
      <c r="E2" s="14" t="n"/>
      <c r="F2" s="14" t="n"/>
      <c r="G2" s="14" t="n"/>
      <c r="H2" s="14" t="n"/>
      <c r="I2" s="14" t="n"/>
      <c r="J2" s="14" t="n"/>
      <c r="K2" s="14" t="n"/>
      <c r="L2" s="14" t="n"/>
      <c r="M2" s="14" t="n"/>
      <c r="N2" s="14" t="n"/>
    </row>
    <row r="3">
      <c r="A3" s="14" t="n"/>
      <c r="B3" s="14" t="n"/>
      <c r="C3" s="14" t="n"/>
      <c r="D3" s="14" t="n"/>
      <c r="E3" s="14" t="n"/>
      <c r="F3" s="14" t="n"/>
      <c r="G3" s="14" t="n"/>
      <c r="H3" s="14" t="n"/>
      <c r="I3" s="14" t="n"/>
      <c r="J3" s="14" t="n"/>
      <c r="K3" s="14" t="n"/>
      <c r="L3" s="14" t="n"/>
      <c r="M3" s="14" t="n"/>
      <c r="N3" s="14" t="n"/>
    </row>
    <row r="4">
      <c r="A4" s="14" t="n"/>
      <c r="B4" s="14" t="n"/>
      <c r="C4" s="14" t="n"/>
      <c r="D4" s="14" t="n"/>
      <c r="E4" s="14" t="n"/>
      <c r="F4" s="14" t="n"/>
      <c r="G4" s="14" t="n"/>
      <c r="H4" s="14" t="n"/>
      <c r="I4" s="14" t="n"/>
      <c r="J4" s="14" t="n"/>
      <c r="K4" s="14" t="n"/>
      <c r="L4" s="14" t="n"/>
      <c r="M4" s="14" t="n"/>
      <c r="N4" s="14" t="n"/>
    </row>
    <row r="5">
      <c r="A5" s="14" t="n"/>
      <c r="B5" s="14" t="n"/>
      <c r="C5" s="14" t="n"/>
      <c r="D5" s="14" t="n"/>
      <c r="E5" s="14" t="n"/>
      <c r="F5" s="14" t="n"/>
      <c r="G5" s="14" t="n"/>
      <c r="H5" s="14" t="n"/>
      <c r="I5" s="14" t="n"/>
      <c r="J5" s="14" t="n"/>
      <c r="K5" s="14" t="n"/>
      <c r="L5" s="14" t="n"/>
      <c r="M5" s="14" t="n"/>
      <c r="N5" s="14" t="n"/>
    </row>
    <row r="6">
      <c r="A6" s="14" t="n"/>
      <c r="B6" s="14" t="n"/>
      <c r="C6" s="14" t="n"/>
      <c r="D6" s="14" t="n"/>
      <c r="E6" s="14" t="n"/>
      <c r="F6" s="14" t="n"/>
      <c r="G6" s="14" t="n"/>
      <c r="H6" s="14" t="n"/>
      <c r="I6" s="14" t="n"/>
      <c r="J6" s="14" t="n"/>
      <c r="K6" s="14" t="n"/>
      <c r="L6" s="14" t="n"/>
      <c r="M6" s="14" t="n"/>
      <c r="N6" s="14" t="n"/>
    </row>
    <row r="7">
      <c r="A7" s="14" t="n"/>
      <c r="B7" s="14" t="n"/>
      <c r="C7" s="14" t="n"/>
      <c r="D7" s="14" t="n"/>
      <c r="E7" s="14" t="n"/>
      <c r="F7" s="14" t="n"/>
      <c r="G7" s="14" t="n"/>
      <c r="H7" s="14" t="n"/>
      <c r="I7" s="14" t="n"/>
      <c r="J7" s="14" t="n"/>
      <c r="K7" s="14" t="n"/>
      <c r="L7" s="14" t="n"/>
      <c r="M7" s="14" t="n"/>
      <c r="N7" s="14" t="n"/>
    </row>
    <row r="8">
      <c r="A8" s="14" t="n"/>
      <c r="B8" s="14" t="n"/>
      <c r="C8" s="14" t="n"/>
      <c r="D8" s="14" t="n"/>
      <c r="E8" s="14" t="n"/>
      <c r="F8" s="14" t="n"/>
      <c r="G8" s="14" t="n"/>
      <c r="H8" s="14" t="n"/>
      <c r="I8" s="14" t="n"/>
      <c r="J8" s="14" t="n"/>
      <c r="K8" s="14" t="n"/>
      <c r="L8" s="14" t="n"/>
      <c r="M8" s="14" t="n"/>
      <c r="N8" s="14" t="n"/>
    </row>
    <row r="9">
      <c r="A9" s="14" t="n"/>
      <c r="B9" s="14" t="n"/>
      <c r="C9" s="14" t="n"/>
      <c r="D9" s="14" t="n"/>
      <c r="E9" s="14" t="n"/>
      <c r="F9" s="14" t="n"/>
      <c r="G9" s="14" t="n"/>
      <c r="H9" s="14" t="n"/>
      <c r="I9" s="14" t="n"/>
      <c r="J9" s="14" t="n"/>
      <c r="K9" s="14" t="n"/>
      <c r="L9" s="14" t="n"/>
      <c r="M9" s="14" t="n"/>
      <c r="N9" s="14" t="n"/>
    </row>
    <row r="10">
      <c r="A10" s="14" t="n"/>
      <c r="B10" s="14" t="n"/>
      <c r="C10" s="14" t="n"/>
      <c r="D10" s="14" t="n"/>
      <c r="E10" s="14" t="n"/>
      <c r="F10" s="14" t="n"/>
      <c r="G10" s="14" t="n"/>
      <c r="H10" s="14" t="n"/>
      <c r="I10" s="14" t="n"/>
      <c r="J10" s="14" t="n"/>
      <c r="K10" s="14" t="n"/>
      <c r="L10" s="14" t="n"/>
      <c r="M10" s="14" t="n"/>
      <c r="N10" s="14" t="n"/>
    </row>
    <row r="11">
      <c r="A11" s="14" t="n"/>
      <c r="B11" s="14" t="n"/>
      <c r="C11" s="14" t="n"/>
      <c r="D11" s="14" t="n"/>
      <c r="E11" s="14" t="n"/>
      <c r="F11" s="14" t="n"/>
      <c r="G11" s="14" t="n"/>
      <c r="H11" s="14" t="n"/>
      <c r="I11" s="14" t="n"/>
      <c r="J11" s="14" t="n"/>
      <c r="K11" s="14" t="n"/>
      <c r="L11" s="14" t="n"/>
      <c r="M11" s="14" t="n"/>
      <c r="N11" s="14" t="n"/>
    </row>
    <row r="12">
      <c r="A12" s="14" t="n"/>
      <c r="B12" s="14" t="n"/>
      <c r="C12" s="14" t="n"/>
      <c r="D12" s="14" t="n"/>
      <c r="E12" s="14" t="n"/>
      <c r="F12" s="14" t="n"/>
      <c r="G12" s="14" t="n"/>
      <c r="H12" s="14" t="n"/>
      <c r="I12" s="14" t="n"/>
      <c r="J12" s="14" t="n"/>
      <c r="K12" s="14" t="n"/>
      <c r="L12" s="14" t="n"/>
      <c r="M12" s="14" t="n"/>
      <c r="N12" s="14" t="n"/>
    </row>
    <row r="13">
      <c r="A13" s="14" t="n"/>
      <c r="B13" s="14" t="n"/>
      <c r="C13" s="14" t="n"/>
      <c r="D13" s="14" t="n"/>
      <c r="E13" s="14" t="n"/>
      <c r="F13" s="14" t="n"/>
      <c r="G13" s="14" t="n"/>
      <c r="H13" s="14" t="n"/>
      <c r="I13" s="14" t="n"/>
      <c r="J13" s="14" t="n"/>
      <c r="K13" s="14" t="n"/>
      <c r="L13" s="14" t="n"/>
      <c r="M13" s="14" t="n"/>
      <c r="N13" s="14" t="n"/>
    </row>
    <row r="14">
      <c r="A14" s="14" t="n"/>
      <c r="B14" s="14" t="n"/>
      <c r="C14" s="14" t="n"/>
      <c r="D14" s="14" t="n"/>
      <c r="E14" s="14" t="n"/>
      <c r="F14" s="14" t="n"/>
      <c r="G14" s="14" t="n"/>
      <c r="H14" s="14" t="n"/>
      <c r="I14" s="14" t="n"/>
      <c r="J14" s="14" t="n"/>
      <c r="K14" s="14" t="n"/>
      <c r="L14" s="14" t="n"/>
      <c r="M14" s="14" t="n"/>
      <c r="N14" s="14" t="n"/>
    </row>
    <row r="15">
      <c r="A15" s="14" t="n"/>
      <c r="B15" s="14" t="n"/>
      <c r="C15" s="14" t="n"/>
      <c r="D15" s="14" t="n"/>
      <c r="E15" s="14" t="n"/>
      <c r="F15" s="14" t="n"/>
      <c r="G15" s="14" t="n"/>
      <c r="H15" s="14" t="n"/>
      <c r="I15" s="14" t="n"/>
      <c r="J15" s="14" t="n"/>
      <c r="K15" s="14" t="n"/>
      <c r="L15" s="14" t="n"/>
      <c r="M15" s="14" t="n"/>
      <c r="N15" s="14" t="n"/>
    </row>
    <row r="16">
      <c r="A16" s="14" t="n"/>
      <c r="B16" s="14" t="n"/>
      <c r="C16" s="14" t="n"/>
      <c r="D16" s="14" t="n"/>
      <c r="E16" s="14" t="n"/>
      <c r="F16" s="14" t="n"/>
      <c r="G16" s="14" t="n"/>
      <c r="H16" s="14" t="n"/>
      <c r="I16" s="14" t="n"/>
      <c r="J16" s="14" t="n"/>
      <c r="K16" s="14" t="n"/>
      <c r="L16" s="14" t="n"/>
      <c r="M16" s="14" t="n"/>
      <c r="N16" s="14" t="n"/>
    </row>
    <row r="17">
      <c r="A17" s="14" t="n"/>
      <c r="B17" s="14" t="n"/>
      <c r="C17" s="14" t="n"/>
      <c r="D17" s="14" t="n"/>
      <c r="E17" s="14" t="n"/>
      <c r="F17" s="14" t="n"/>
      <c r="G17" s="14" t="n"/>
      <c r="H17" s="14" t="n"/>
      <c r="I17" s="14" t="n"/>
      <c r="J17" s="14" t="n"/>
      <c r="K17" s="14" t="n"/>
      <c r="L17" s="14" t="n"/>
      <c r="M17" s="14" t="n"/>
      <c r="N17" s="14" t="n"/>
    </row>
    <row r="18">
      <c r="A18" s="14" t="n"/>
      <c r="B18" s="14" t="n"/>
      <c r="C18" s="14" t="n"/>
      <c r="D18" s="14" t="n"/>
      <c r="E18" s="14" t="n"/>
      <c r="F18" s="14" t="n"/>
      <c r="G18" s="14" t="n"/>
      <c r="H18" s="14" t="n"/>
      <c r="I18" s="14" t="n"/>
      <c r="J18" s="14" t="n"/>
      <c r="K18" s="14" t="n"/>
      <c r="L18" s="14" t="n"/>
      <c r="M18" s="14" t="n"/>
      <c r="N18" s="14" t="n"/>
    </row>
    <row r="19">
      <c r="A19" s="14" t="n"/>
      <c r="B19" s="14" t="n"/>
      <c r="C19" s="14" t="n"/>
      <c r="D19" s="14" t="n"/>
      <c r="E19" s="14" t="n"/>
      <c r="F19" s="14" t="n"/>
      <c r="G19" s="14" t="n"/>
      <c r="H19" s="14" t="n"/>
      <c r="I19" s="14" t="n"/>
      <c r="J19" s="14" t="n"/>
      <c r="K19" s="14" t="n"/>
      <c r="L19" s="14" t="n"/>
      <c r="M19" s="14" t="n"/>
      <c r="N19" s="14" t="n"/>
    </row>
    <row r="20">
      <c r="A20" s="14" t="n"/>
      <c r="B20" s="14" t="n"/>
      <c r="C20" s="14" t="n"/>
      <c r="D20" s="14" t="n"/>
      <c r="E20" s="14" t="n"/>
      <c r="F20" s="14" t="n"/>
      <c r="G20" s="14" t="n"/>
      <c r="H20" s="14" t="n"/>
      <c r="I20" s="14" t="n"/>
      <c r="J20" s="14" t="n"/>
      <c r="K20" s="14" t="n"/>
      <c r="L20" s="14" t="n"/>
      <c r="M20" s="14" t="n"/>
      <c r="N20" s="14" t="n"/>
    </row>
    <row r="21">
      <c r="A21" s="14" t="n"/>
      <c r="B21" s="14" t="n"/>
      <c r="C21" s="14" t="n"/>
      <c r="D21" s="14" t="n"/>
      <c r="E21" s="14" t="n"/>
      <c r="F21" s="14" t="n"/>
      <c r="G21" s="14" t="n"/>
      <c r="H21" s="14" t="n"/>
      <c r="I21" s="14" t="n"/>
      <c r="J21" s="14" t="n"/>
      <c r="K21" s="14" t="n"/>
      <c r="L21" s="14" t="n"/>
      <c r="M21" s="14" t="n"/>
      <c r="N21" s="14" t="n"/>
    </row>
    <row r="22">
      <c r="A22" s="14" t="n"/>
      <c r="B22" s="14" t="n"/>
      <c r="C22" s="14" t="n"/>
      <c r="D22" s="14" t="n"/>
      <c r="E22" s="14" t="n"/>
      <c r="F22" s="14" t="n"/>
      <c r="G22" s="14" t="n"/>
      <c r="H22" s="14" t="n"/>
      <c r="I22" s="14" t="n"/>
      <c r="J22" s="14" t="n"/>
      <c r="K22" s="14" t="n"/>
      <c r="L22" s="14" t="n"/>
      <c r="M22" s="14" t="n"/>
      <c r="N22" s="14" t="n"/>
    </row>
    <row r="23">
      <c r="A23" s="14" t="n"/>
      <c r="B23" s="14" t="n"/>
      <c r="C23" s="14" t="n"/>
      <c r="D23" s="14" t="n"/>
      <c r="E23" s="14" t="n"/>
      <c r="F23" s="14" t="n"/>
      <c r="G23" s="14" t="n"/>
      <c r="H23" s="14" t="n"/>
      <c r="I23" s="14" t="n"/>
      <c r="J23" s="14" t="n"/>
      <c r="K23" s="14" t="n"/>
      <c r="L23" s="14" t="n"/>
      <c r="M23" s="14" t="n"/>
      <c r="N23" s="14" t="n"/>
    </row>
    <row r="24">
      <c r="A24" s="14" t="n"/>
      <c r="B24" s="14" t="n"/>
      <c r="C24" s="14" t="n"/>
      <c r="D24" s="14" t="n"/>
      <c r="E24" s="14" t="n"/>
      <c r="F24" s="14" t="n"/>
      <c r="G24" s="14" t="n"/>
      <c r="H24" s="14" t="n"/>
      <c r="I24" s="14" t="n"/>
      <c r="J24" s="14" t="n"/>
      <c r="K24" s="14" t="n"/>
      <c r="L24" s="14" t="n"/>
      <c r="M24" s="14" t="n"/>
      <c r="N24" s="14" t="n"/>
    </row>
    <row r="25">
      <c r="A25" s="14" t="n"/>
      <c r="B25" s="14" t="n"/>
      <c r="C25" s="14" t="n"/>
      <c r="D25" s="14" t="n"/>
      <c r="E25" s="14" t="n"/>
      <c r="F25" s="14" t="n"/>
      <c r="G25" s="14" t="n"/>
      <c r="H25" s="14" t="n"/>
      <c r="I25" s="14" t="n"/>
      <c r="J25" s="14" t="n"/>
      <c r="K25" s="14" t="n"/>
      <c r="L25" s="14" t="n"/>
      <c r="M25" s="14" t="n"/>
      <c r="N25" s="14" t="n"/>
    </row>
    <row r="26">
      <c r="A26" s="14" t="n"/>
      <c r="B26" s="14" t="n"/>
      <c r="C26" s="14" t="n"/>
      <c r="D26" s="14" t="n"/>
      <c r="E26" s="14" t="n"/>
      <c r="F26" s="14" t="n"/>
      <c r="G26" s="14" t="n"/>
      <c r="H26" s="14" t="n"/>
      <c r="I26" s="14" t="n"/>
      <c r="J26" s="14" t="n"/>
      <c r="K26" s="14" t="n"/>
      <c r="L26" s="14" t="n"/>
      <c r="M26" s="14" t="n"/>
      <c r="N26" s="14" t="n"/>
    </row>
    <row r="27">
      <c r="A27" s="14" t="n"/>
      <c r="B27" s="14" t="n"/>
      <c r="C27" s="14" t="n"/>
      <c r="D27" s="14" t="n"/>
      <c r="E27" s="14" t="n"/>
      <c r="F27" s="14" t="n"/>
      <c r="G27" s="14" t="n"/>
      <c r="H27" s="14" t="n"/>
      <c r="I27" s="14" t="n"/>
      <c r="J27" s="14" t="n"/>
      <c r="K27" s="14" t="n"/>
      <c r="L27" s="14" t="n"/>
      <c r="M27" s="14" t="n"/>
      <c r="N27" s="14" t="n"/>
    </row>
    <row r="28">
      <c r="A28" s="14" t="n"/>
      <c r="B28" s="14" t="n"/>
      <c r="C28" s="14" t="n"/>
      <c r="D28" s="14" t="n"/>
      <c r="E28" s="14" t="n"/>
      <c r="F28" s="14" t="n"/>
      <c r="G28" s="14" t="n"/>
      <c r="H28" s="14" t="n"/>
      <c r="I28" s="14" t="n"/>
      <c r="J28" s="14" t="n"/>
      <c r="K28" s="14" t="n"/>
      <c r="L28" s="14" t="n"/>
      <c r="M28" s="14" t="n"/>
      <c r="N28" s="14" t="n"/>
    </row>
    <row r="29">
      <c r="A29" s="14" t="n"/>
      <c r="B29" s="14" t="n"/>
      <c r="C29" s="14" t="n"/>
      <c r="D29" s="14" t="n"/>
      <c r="E29" s="14" t="n"/>
      <c r="F29" s="14" t="n"/>
      <c r="G29" s="14" t="n"/>
      <c r="H29" s="14" t="n"/>
      <c r="I29" s="14" t="n"/>
      <c r="J29" s="14" t="n"/>
      <c r="K29" s="14" t="n"/>
      <c r="L29" s="14" t="n"/>
      <c r="M29" s="14" t="n"/>
      <c r="N29" s="14" t="n"/>
    </row>
    <row r="30">
      <c r="A30" s="14" t="n"/>
      <c r="B30" s="14" t="n"/>
      <c r="C30" s="14" t="n"/>
      <c r="D30" s="14" t="n"/>
      <c r="E30" s="14" t="n"/>
      <c r="F30" s="14" t="n"/>
      <c r="G30" s="14" t="n"/>
      <c r="H30" s="14" t="n"/>
      <c r="I30" s="14" t="n"/>
      <c r="J30" s="14" t="n"/>
      <c r="K30" s="14" t="n"/>
      <c r="L30" s="14" t="n"/>
      <c r="M30" s="14" t="n"/>
      <c r="N30" s="14" t="n"/>
    </row>
    <row r="31">
      <c r="A31" s="14" t="n"/>
      <c r="B31" s="14" t="n"/>
      <c r="C31" s="14" t="n"/>
      <c r="D31" s="14" t="n"/>
      <c r="E31" s="14" t="n"/>
      <c r="F31" s="14" t="n"/>
      <c r="G31" s="14" t="n"/>
      <c r="H31" s="14" t="n"/>
      <c r="I31" s="14" t="n"/>
      <c r="J31" s="14" t="n"/>
      <c r="K31" s="14" t="n"/>
      <c r="L31" s="14" t="n"/>
      <c r="M31" s="14" t="n"/>
      <c r="N31" s="14" t="n"/>
    </row>
    <row r="32">
      <c r="A32" s="14" t="n"/>
      <c r="B32" s="14" t="n"/>
      <c r="C32" s="14" t="n"/>
      <c r="D32" s="14" t="n"/>
      <c r="E32" s="14" t="n"/>
      <c r="F32" s="14" t="n"/>
      <c r="G32" s="14" t="n"/>
      <c r="H32" s="14" t="n"/>
      <c r="I32" s="14" t="n"/>
      <c r="J32" s="14" t="n"/>
      <c r="K32" s="14" t="n"/>
      <c r="L32" s="14" t="n"/>
      <c r="M32" s="14" t="n"/>
      <c r="N32" s="14" t="n"/>
    </row>
    <row r="33">
      <c r="A33" s="14" t="n"/>
      <c r="B33" s="14" t="n"/>
      <c r="C33" s="14" t="n"/>
      <c r="D33" s="14" t="n"/>
      <c r="E33" s="14" t="n"/>
      <c r="F33" s="14" t="n"/>
      <c r="G33" s="14" t="n"/>
      <c r="H33" s="14" t="n"/>
      <c r="I33" s="14" t="n"/>
      <c r="J33" s="14" t="n"/>
      <c r="K33" s="14" t="n"/>
      <c r="L33" s="14" t="n"/>
      <c r="M33" s="14" t="n"/>
      <c r="N33" s="14" t="n"/>
    </row>
    <row r="34">
      <c r="A34" s="14" t="n"/>
      <c r="B34" s="14" t="n"/>
      <c r="C34" s="14" t="n"/>
      <c r="D34" s="14" t="n"/>
      <c r="E34" s="14" t="n"/>
      <c r="F34" s="14" t="n"/>
      <c r="G34" s="14" t="n"/>
      <c r="H34" s="14" t="n"/>
      <c r="I34" s="14" t="n"/>
      <c r="J34" s="14" t="n"/>
      <c r="K34" s="14" t="n"/>
      <c r="L34" s="14" t="n"/>
      <c r="M34" s="14" t="n"/>
      <c r="N34" s="14" t="n"/>
    </row>
    <row r="35">
      <c r="A35" s="14" t="n"/>
      <c r="B35" s="14" t="n"/>
      <c r="C35" s="14" t="n"/>
      <c r="D35" s="14" t="n"/>
      <c r="E35" s="14" t="n"/>
      <c r="F35" s="14" t="n"/>
      <c r="G35" s="14" t="n"/>
      <c r="H35" s="14" t="n"/>
      <c r="I35" s="14" t="n"/>
      <c r="J35" s="14" t="n"/>
      <c r="K35" s="14" t="n"/>
      <c r="L35" s="14" t="n"/>
      <c r="M35" s="14" t="n"/>
      <c r="N35" s="14" t="n"/>
    </row>
    <row r="36">
      <c r="A36" s="14" t="n"/>
      <c r="B36" s="14" t="n"/>
      <c r="C36" s="14" t="n"/>
      <c r="D36" s="14" t="n"/>
      <c r="E36" s="14" t="n"/>
      <c r="F36" s="14" t="n"/>
      <c r="G36" s="14" t="n"/>
      <c r="H36" s="14" t="n"/>
      <c r="I36" s="14" t="n"/>
      <c r="J36" s="14" t="n"/>
      <c r="K36" s="14" t="n"/>
      <c r="L36" s="14" t="n"/>
      <c r="M36" s="14" t="n"/>
      <c r="N36" s="14" t="n"/>
    </row>
    <row r="37">
      <c r="A37" s="14" t="n"/>
      <c r="B37" s="14" t="n"/>
      <c r="C37" s="14" t="n"/>
      <c r="D37" s="14" t="n"/>
      <c r="E37" s="14" t="n"/>
      <c r="F37" s="14" t="n"/>
      <c r="G37" s="14" t="n"/>
      <c r="H37" s="14" t="n"/>
      <c r="I37" s="14" t="n"/>
      <c r="J37" s="14" t="n"/>
      <c r="K37" s="14" t="n"/>
      <c r="L37" s="14" t="n"/>
      <c r="M37" s="14" t="n"/>
      <c r="N37" s="14" t="n"/>
    </row>
    <row r="38">
      <c r="A38" s="14" t="n"/>
      <c r="B38" s="14" t="n"/>
      <c r="C38" s="14" t="n"/>
      <c r="D38" s="14" t="n"/>
      <c r="E38" s="14" t="n"/>
      <c r="F38" s="14" t="n"/>
      <c r="G38" s="14" t="n"/>
      <c r="H38" s="14" t="n"/>
      <c r="I38" s="14" t="n"/>
      <c r="J38" s="14" t="n"/>
      <c r="K38" s="14" t="n"/>
      <c r="L38" s="14" t="n"/>
      <c r="M38" s="14" t="n"/>
      <c r="N38" s="14" t="n"/>
    </row>
    <row r="39">
      <c r="A39" s="14" t="n"/>
      <c r="B39" s="14" t="n"/>
      <c r="C39" s="14" t="n"/>
      <c r="D39" s="14" t="n"/>
      <c r="E39" s="14" t="n"/>
      <c r="F39" s="14" t="n"/>
      <c r="G39" s="14" t="n"/>
      <c r="H39" s="14" t="n"/>
      <c r="I39" s="14" t="n"/>
      <c r="J39" s="14" t="n"/>
      <c r="K39" s="14" t="n"/>
      <c r="L39" s="14" t="n"/>
      <c r="M39" s="14" t="n"/>
      <c r="N39" s="14" t="n"/>
    </row>
    <row r="40">
      <c r="A40" s="14" t="n"/>
      <c r="B40" s="14" t="n"/>
      <c r="C40" s="14" t="n"/>
      <c r="D40" s="14" t="n"/>
      <c r="E40" s="14" t="n"/>
      <c r="F40" s="14" t="n"/>
      <c r="G40" s="14" t="n"/>
      <c r="H40" s="14" t="n"/>
      <c r="I40" s="14" t="n"/>
      <c r="J40" s="14" t="n"/>
      <c r="K40" s="14" t="n"/>
      <c r="L40" s="14" t="n"/>
      <c r="M40" s="14" t="n"/>
      <c r="N40" s="14" t="n"/>
    </row>
    <row r="41">
      <c r="A41" s="14" t="n"/>
      <c r="B41" s="14" t="n"/>
      <c r="C41" s="14" t="n"/>
      <c r="D41" s="14" t="n"/>
      <c r="E41" s="14" t="n"/>
      <c r="F41" s="14" t="n"/>
      <c r="G41" s="14" t="n"/>
      <c r="H41" s="14" t="n"/>
      <c r="I41" s="14" t="n"/>
      <c r="J41" s="14" t="n"/>
      <c r="K41" s="14" t="n"/>
      <c r="L41" s="14" t="n"/>
      <c r="M41" s="14" t="n"/>
      <c r="N41" s="14" t="n"/>
    </row>
    <row r="42">
      <c r="A42" s="14" t="n"/>
      <c r="B42" s="14" t="n"/>
      <c r="C42" s="14" t="n"/>
      <c r="D42" s="14" t="n"/>
      <c r="E42" s="14" t="n"/>
      <c r="F42" s="14" t="n"/>
      <c r="G42" s="14" t="n"/>
      <c r="H42" s="14" t="n"/>
      <c r="I42" s="14" t="n"/>
      <c r="J42" s="14" t="n"/>
      <c r="K42" s="14" t="n"/>
      <c r="L42" s="14" t="n"/>
      <c r="M42" s="14" t="n"/>
      <c r="N42" s="14" t="n"/>
    </row>
    <row r="43">
      <c r="A43" s="14" t="n"/>
      <c r="B43" s="14" t="n"/>
      <c r="C43" s="14" t="n"/>
      <c r="D43" s="14" t="n"/>
      <c r="E43" s="14" t="n"/>
      <c r="F43" s="14" t="n"/>
      <c r="G43" s="14" t="n"/>
      <c r="H43" s="14" t="n"/>
      <c r="I43" s="14" t="n"/>
      <c r="J43" s="14" t="n"/>
      <c r="K43" s="14" t="n"/>
      <c r="L43" s="14" t="n"/>
      <c r="M43" s="14" t="n"/>
      <c r="N43" s="14" t="n"/>
    </row>
    <row r="44">
      <c r="A44" s="14" t="n"/>
      <c r="B44" s="14" t="n"/>
      <c r="C44" s="14" t="n"/>
      <c r="D44" s="14" t="n"/>
      <c r="E44" s="14" t="n"/>
      <c r="F44" s="14" t="n"/>
      <c r="G44" s="14" t="n"/>
      <c r="H44" s="14" t="n"/>
      <c r="I44" s="14" t="n"/>
      <c r="J44" s="14" t="n"/>
      <c r="K44" s="14" t="n"/>
      <c r="L44" s="14" t="n"/>
      <c r="M44" s="14" t="n"/>
      <c r="N44" s="14" t="n"/>
    </row>
    <row r="45">
      <c r="A45" s="14" t="n"/>
      <c r="B45" s="14" t="n"/>
      <c r="C45" s="14" t="n"/>
      <c r="D45" s="14" t="n"/>
      <c r="E45" s="14" t="n"/>
      <c r="F45" s="14" t="n"/>
      <c r="G45" s="14" t="n"/>
      <c r="H45" s="14" t="n"/>
      <c r="I45" s="14" t="n"/>
      <c r="J45" s="14" t="n"/>
      <c r="K45" s="14" t="n"/>
      <c r="L45" s="14" t="n"/>
      <c r="M45" s="14" t="n"/>
      <c r="N45" s="14" t="n"/>
    </row>
    <row r="46">
      <c r="A46" s="14" t="n"/>
      <c r="B46" s="14" t="n"/>
      <c r="C46" s="14" t="n"/>
      <c r="D46" s="14" t="n"/>
      <c r="E46" s="14" t="n"/>
      <c r="F46" s="14" t="n"/>
      <c r="G46" s="14" t="n"/>
      <c r="H46" s="14" t="n"/>
      <c r="I46" s="14" t="n"/>
      <c r="J46" s="14" t="n"/>
      <c r="K46" s="14" t="n"/>
      <c r="L46" s="14" t="n"/>
      <c r="M46" s="14" t="n"/>
      <c r="N46" s="14" t="n"/>
    </row>
    <row r="47">
      <c r="A47" s="14" t="n"/>
      <c r="B47" s="14" t="n"/>
      <c r="C47" s="14" t="n"/>
      <c r="D47" s="14" t="n"/>
      <c r="E47" s="14" t="n"/>
      <c r="F47" s="14" t="n"/>
      <c r="G47" s="14" t="n"/>
      <c r="H47" s="14" t="n"/>
      <c r="I47" s="14" t="n"/>
      <c r="J47" s="14" t="n"/>
      <c r="K47" s="14" t="n"/>
      <c r="L47" s="14" t="n"/>
      <c r="M47" s="14" t="n"/>
      <c r="N47" s="14" t="n"/>
    </row>
    <row r="48">
      <c r="A48" s="14" t="n"/>
      <c r="B48" s="14" t="n"/>
      <c r="C48" s="14" t="n"/>
      <c r="D48" s="14" t="n"/>
      <c r="E48" s="14" t="n"/>
      <c r="F48" s="14" t="n"/>
      <c r="G48" s="14" t="n"/>
      <c r="H48" s="14" t="n"/>
      <c r="I48" s="14" t="n"/>
      <c r="J48" s="14" t="n"/>
      <c r="K48" s="14" t="n"/>
      <c r="L48" s="14" t="n"/>
      <c r="M48" s="14" t="n"/>
      <c r="N48" s="14" t="n"/>
    </row>
    <row r="49">
      <c r="A49" s="14" t="n"/>
      <c r="B49" s="14" t="n"/>
      <c r="C49" s="14" t="n"/>
      <c r="D49" s="14" t="n"/>
      <c r="E49" s="14" t="n"/>
      <c r="F49" s="14" t="n"/>
      <c r="G49" s="14" t="n"/>
      <c r="H49" s="14" t="n"/>
      <c r="I49" s="14" t="n"/>
      <c r="J49" s="14" t="n"/>
      <c r="K49" s="14" t="n"/>
      <c r="L49" s="14" t="n"/>
      <c r="M49" s="14" t="n"/>
      <c r="N49" s="14" t="n"/>
    </row>
    <row r="50">
      <c r="A50" s="14" t="n"/>
      <c r="B50" s="14" t="n"/>
      <c r="C50" s="14" t="n"/>
      <c r="D50" s="14" t="n"/>
      <c r="E50" s="14" t="n"/>
      <c r="F50" s="14" t="n"/>
      <c r="G50" s="14" t="n"/>
      <c r="H50" s="14" t="n"/>
      <c r="I50" s="14" t="n"/>
      <c r="J50" s="14" t="n"/>
      <c r="K50" s="14" t="n"/>
      <c r="L50" s="14" t="n"/>
      <c r="M50" s="14" t="n"/>
      <c r="N50" s="14" t="n"/>
    </row>
    <row r="51">
      <c r="A51" s="14" t="n"/>
      <c r="B51" s="14" t="n"/>
      <c r="C51" s="14" t="n"/>
      <c r="D51" s="14" t="n"/>
      <c r="E51" s="14" t="n"/>
      <c r="F51" s="14" t="n"/>
      <c r="G51" s="14" t="n"/>
      <c r="H51" s="14" t="n"/>
      <c r="I51" s="14" t="n"/>
      <c r="J51" s="14" t="n"/>
      <c r="K51" s="14" t="n"/>
      <c r="L51" s="14" t="n"/>
      <c r="M51" s="14" t="n"/>
      <c r="N51" s="14" t="n"/>
    </row>
    <row r="52">
      <c r="A52" s="14" t="n"/>
      <c r="B52" s="14" t="n"/>
      <c r="C52" s="14" t="n"/>
      <c r="D52" s="14" t="n"/>
      <c r="E52" s="14" t="n"/>
      <c r="F52" s="14" t="n"/>
      <c r="G52" s="14" t="n"/>
      <c r="H52" s="14" t="n"/>
      <c r="I52" s="14" t="n"/>
      <c r="J52" s="14" t="n"/>
      <c r="K52" s="14" t="n"/>
      <c r="L52" s="14" t="n"/>
      <c r="M52" s="14" t="n"/>
      <c r="N52" s="14" t="n"/>
    </row>
    <row r="53">
      <c r="A53" s="14" t="n"/>
      <c r="B53" s="14" t="n"/>
      <c r="C53" s="14" t="n"/>
      <c r="D53" s="14" t="n"/>
      <c r="E53" s="14" t="n"/>
      <c r="F53" s="14" t="n"/>
      <c r="G53" s="14" t="n"/>
      <c r="H53" s="14" t="n"/>
      <c r="I53" s="14" t="n"/>
      <c r="J53" s="14" t="n"/>
      <c r="K53" s="14" t="n"/>
      <c r="L53" s="14" t="n"/>
      <c r="M53" s="14" t="n"/>
      <c r="N53" s="14" t="n"/>
    </row>
    <row r="54">
      <c r="A54" s="14" t="n"/>
      <c r="B54" s="14" t="n"/>
      <c r="C54" s="14" t="n"/>
      <c r="D54" s="14" t="n"/>
      <c r="E54" s="14" t="n"/>
      <c r="F54" s="14" t="n"/>
      <c r="G54" s="14" t="n"/>
      <c r="H54" s="14" t="n"/>
      <c r="I54" s="14" t="n"/>
      <c r="J54" s="14" t="n"/>
      <c r="K54" s="14" t="n"/>
      <c r="L54" s="14" t="n"/>
      <c r="M54" s="14" t="n"/>
      <c r="N54" s="14" t="n"/>
    </row>
    <row r="55">
      <c r="A55" s="14" t="n"/>
      <c r="B55" s="14" t="n"/>
      <c r="C55" s="14" t="n"/>
      <c r="D55" s="14" t="n"/>
      <c r="E55" s="14" t="n"/>
      <c r="F55" s="14" t="n"/>
      <c r="G55" s="14" t="n"/>
      <c r="H55" s="14" t="n"/>
      <c r="I55" s="14" t="n"/>
      <c r="J55" s="14" t="n"/>
      <c r="K55" s="14" t="n"/>
      <c r="L55" s="14" t="n"/>
      <c r="M55" s="14" t="n"/>
      <c r="N55" s="14" t="n"/>
    </row>
    <row r="56">
      <c r="A56" s="14" t="n"/>
      <c r="B56" s="14" t="n"/>
      <c r="C56" s="14" t="n"/>
      <c r="D56" s="14" t="n"/>
      <c r="E56" s="14" t="n"/>
      <c r="F56" s="14" t="n"/>
      <c r="G56" s="14" t="n"/>
      <c r="H56" s="14" t="n"/>
      <c r="I56" s="14" t="n"/>
      <c r="J56" s="14" t="n"/>
      <c r="K56" s="14" t="n"/>
      <c r="L56" s="14" t="n"/>
      <c r="M56" s="14" t="n"/>
      <c r="N56" s="14" t="n"/>
    </row>
    <row r="57">
      <c r="A57" s="14" t="n"/>
      <c r="B57" s="14" t="n"/>
      <c r="C57" s="14" t="n"/>
      <c r="D57" s="14" t="n"/>
      <c r="E57" s="14" t="n"/>
      <c r="F57" s="14" t="n"/>
      <c r="G57" s="14" t="n"/>
      <c r="H57" s="14" t="n"/>
      <c r="I57" s="14" t="n"/>
      <c r="J57" s="14" t="n"/>
      <c r="K57" s="14" t="n"/>
      <c r="L57" s="14" t="n"/>
      <c r="M57" s="14" t="n"/>
      <c r="N57" s="14" t="n"/>
    </row>
    <row r="58">
      <c r="A58" s="14" t="n"/>
      <c r="B58" s="14" t="n"/>
      <c r="C58" s="14" t="n"/>
      <c r="D58" s="14" t="n"/>
      <c r="E58" s="14" t="n"/>
      <c r="F58" s="14" t="n"/>
      <c r="G58" s="14" t="n"/>
      <c r="H58" s="14" t="n"/>
      <c r="I58" s="14" t="n"/>
      <c r="J58" s="14" t="n"/>
      <c r="K58" s="14" t="n"/>
      <c r="L58" s="14" t="n"/>
      <c r="M58" s="14" t="n"/>
      <c r="N58" s="14" t="n"/>
    </row>
    <row r="59">
      <c r="A59" s="14" t="n"/>
      <c r="B59" s="14" t="n"/>
      <c r="C59" s="14" t="n"/>
      <c r="D59" s="14" t="n"/>
      <c r="E59" s="14" t="n"/>
      <c r="F59" s="14" t="n"/>
      <c r="G59" s="14" t="n"/>
      <c r="H59" s="14" t="n"/>
      <c r="I59" s="14" t="n"/>
      <c r="J59" s="14" t="n"/>
      <c r="K59" s="14" t="n"/>
      <c r="L59" s="14" t="n"/>
      <c r="M59" s="14" t="n"/>
      <c r="N59" s="14" t="n"/>
    </row>
  </sheetData>
  <dataValidations count="2">
    <dataValidation sqref="M2:M200" showDropDown="0" showInputMessage="0" showErrorMessage="0" allowBlank="1" type="list">
      <formula1>"Open,In Progress,Fixed,Retest,Closed,Rejected"</formula1>
    </dataValidation>
    <dataValidation sqref="E2:E200" showDropDown="0" showInputMessage="0" showErrorMessage="0" allowBlank="1"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2026-08-05T05:30:15Z</dcterms:created>
  <dcterms:modified xsi:type="dcterms:W3CDTF">2026-08-05T05:30:15Z</dcterms:modified>
</cp:coreProperties>
</file>